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\\ibus029ns.ibd.fw.gs.com\papeca_newyork_ibd\home\Desktop\"/>
    </mc:Choice>
  </mc:AlternateContent>
  <xr:revisionPtr revIDLastSave="0" documentId="13_ncr:1_{635D0E4F-D295-4501-907C-1B725A5EDDF2}" xr6:coauthVersionLast="47" xr6:coauthVersionMax="47" xr10:uidLastSave="{00000000-0000-0000-0000-000000000000}"/>
  <bookViews>
    <workbookView xWindow="3030" yWindow="2805" windowWidth="43200" windowHeight="17040" xr2:uid="{1D39F26B-43D1-4271-B31F-EB2F89BD6704}"/>
  </bookViews>
  <sheets>
    <sheet name="Cash Flow Extract" sheetId="1" r:id="rId1"/>
    <sheet name="Cash Flow Footnotes" sheetId="2" r:id="rId2"/>
    <sheet name="Rent Roll" sheetId="3" r:id="rId3"/>
    <sheet name="Rent Roll Footnotes" sheetId="4" r:id="rId4"/>
    <sheet name="Rent Steps" sheetId="5" r:id="rId5"/>
  </sheets>
  <definedNames>
    <definedName name="IQ_ADDIN" hidden="1">"AUTO"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42114.3858564815</definedName>
    <definedName name="IQ_QTD" hidden="1">750000</definedName>
    <definedName name="IQ_TODAY" hidden="1">0</definedName>
    <definedName name="IQ_YTDMONTH" hidden="1">130000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5" l="1"/>
  <c r="F23" i="5"/>
  <c r="F13" i="5"/>
  <c r="F4" i="5"/>
  <c r="F3" i="5"/>
</calcChain>
</file>

<file path=xl/sharedStrings.xml><?xml version="1.0" encoding="utf-8"?>
<sst xmlns="http://schemas.openxmlformats.org/spreadsheetml/2006/main" count="240" uniqueCount="115">
  <si>
    <t>Budget</t>
  </si>
  <si>
    <t>In-Place</t>
  </si>
  <si>
    <t>GS U/W</t>
  </si>
  <si>
    <t>Notes</t>
  </si>
  <si>
    <t>Commercial Space:</t>
  </si>
  <si>
    <t>Owned Square Feet</t>
  </si>
  <si>
    <t>Amount</t>
  </si>
  <si>
    <t>%</t>
  </si>
  <si>
    <t>Per SF</t>
  </si>
  <si>
    <t>% of Rev</t>
  </si>
  <si>
    <t>Commercial Rental Revenue</t>
  </si>
  <si>
    <t>Gross Potential Commercial Rental Revenue</t>
  </si>
  <si>
    <t>Commercial Reimbursement Revenue</t>
  </si>
  <si>
    <t>Operating Expenses (CAM) Reimbursement</t>
  </si>
  <si>
    <t>Total Commercial Reimbursement Revenue</t>
  </si>
  <si>
    <t>Other Revenue</t>
  </si>
  <si>
    <t>Parking Income</t>
  </si>
  <si>
    <t>Miscellaneous Revenue 1</t>
  </si>
  <si>
    <t>Total Other Revenue</t>
  </si>
  <si>
    <t>Potential Gross Revenue</t>
  </si>
  <si>
    <t>Less Commercial Vacancy &amp; Credit Loss:</t>
  </si>
  <si>
    <t>Commercial Adj. to Market Vacancy</t>
  </si>
  <si>
    <t>Total Commercial Vacancy &amp; Credit Loss</t>
  </si>
  <si>
    <t>Effective Gross Revenue</t>
  </si>
  <si>
    <t>Fixed Expenses</t>
  </si>
  <si>
    <t>Real Estate Taxes</t>
  </si>
  <si>
    <t>Insurance</t>
  </si>
  <si>
    <t>Total Fixed Expenses</t>
  </si>
  <si>
    <t>Recoverable Expenses</t>
  </si>
  <si>
    <t>Utilities</t>
  </si>
  <si>
    <t>Repairs &amp; Maintenance</t>
  </si>
  <si>
    <t>Janitorial</t>
  </si>
  <si>
    <t>Management Fee</t>
  </si>
  <si>
    <t>General and Administrative - Direct</t>
  </si>
  <si>
    <t>Total Recoverable Expenses</t>
  </si>
  <si>
    <t>Total Expenses</t>
  </si>
  <si>
    <t>Net Operating Income</t>
  </si>
  <si>
    <t>Replacement Reserves</t>
  </si>
  <si>
    <t>Post Reserve NOI</t>
  </si>
  <si>
    <t>Tenant Improvements</t>
  </si>
  <si>
    <t>Leasing Commissions</t>
  </si>
  <si>
    <t>Net Cash Flow</t>
  </si>
  <si>
    <t xml:space="preserve">Sunroad Centrum </t>
  </si>
  <si>
    <t>Cash Flow Footnotes</t>
  </si>
  <si>
    <t>Footnote</t>
  </si>
  <si>
    <t>Line Item</t>
  </si>
  <si>
    <t>Note</t>
  </si>
  <si>
    <t>Reflects budgeted reimbursements plus applicable reimbursement from Prop 13 tax adjustment.</t>
  </si>
  <si>
    <t>Reflects Sponsor’s Budget Parking Income.</t>
  </si>
  <si>
    <t>Miscellaneous Revenue</t>
  </si>
  <si>
    <t xml:space="preserve">Reflects Sponsor’s Budgeted "Other" Revenue. </t>
  </si>
  <si>
    <t>Reflects 5.0% vacancy of non-investment grade occupied space.</t>
  </si>
  <si>
    <t>Based on Prop 13 Tax evaluation derived as 1.13% of the Loan Amount.</t>
  </si>
  <si>
    <t>Reflects Sponsor’s Budgeted Insurance expenses.</t>
  </si>
  <si>
    <t>Reflects Sponsor’s Budgeted utility expenses.</t>
  </si>
  <si>
    <t>Reflects Sponsor’s Budgeted Repairs and Maintenance expenses.</t>
  </si>
  <si>
    <t>Reflects Sponsor’s Budgeted Janitorial expenses.</t>
  </si>
  <si>
    <t>Reflects 3.0% of Effective Gross Revenue.</t>
  </si>
  <si>
    <t>Reflects Sponsor’s Budgeted G&amp;A expenses.</t>
  </si>
  <si>
    <t>Reflects $0.20 PSF, applied to the collateral square footage.</t>
  </si>
  <si>
    <t xml:space="preserve">Reflects $0.50 PSF for  Tenants all tenants excluding IG tenants with tail (DRE, ABD, CADPH, GSA). </t>
  </si>
  <si>
    <t xml:space="preserve">Base Rent </t>
  </si>
  <si>
    <t>Reflects Sponsor’s In-place rent  af of 7/1/2023 and executed GSA lease.</t>
  </si>
  <si>
    <t>Credit Rent</t>
  </si>
  <si>
    <t>Non Credit Rent</t>
  </si>
  <si>
    <t>UW Adjustments</t>
  </si>
  <si>
    <t>Credit Tenant Rent Steps</t>
  </si>
  <si>
    <t>Total UW Adjustments</t>
  </si>
  <si>
    <t>(2)  Borrower owned space.</t>
  </si>
  <si>
    <t>(1)  Credit ratings are those of tenants or lease guarantors</t>
  </si>
  <si>
    <t>Total All Owned Tenants</t>
  </si>
  <si>
    <t>Vacant Spaces (Owned Space)</t>
  </si>
  <si>
    <t>Total Occupied Owned Tenants</t>
  </si>
  <si>
    <t>Aa2/AA-/AA</t>
  </si>
  <si>
    <t>CA Department of Public Health (CDPH)</t>
  </si>
  <si>
    <t>Alcoholic Beverage Control (ABC)</t>
  </si>
  <si>
    <t>Department of Real Estate (DRE)</t>
  </si>
  <si>
    <t>NR/NR/NR</t>
  </si>
  <si>
    <t/>
  </si>
  <si>
    <t>Kyocera International Inc.</t>
  </si>
  <si>
    <t>Conam</t>
  </si>
  <si>
    <t>Sunroad Asset Management</t>
  </si>
  <si>
    <t>NR/AA+/NR</t>
  </si>
  <si>
    <t>Cypress Insurance Company</t>
  </si>
  <si>
    <t>Various</t>
  </si>
  <si>
    <t>AppFolio</t>
  </si>
  <si>
    <t>Employment Development Department (EDD)</t>
  </si>
  <si>
    <t>NR/NR/AAA</t>
  </si>
  <si>
    <t>General Services Administration</t>
  </si>
  <si>
    <t>Lease Expiration</t>
  </si>
  <si>
    <t>Lease Begin</t>
  </si>
  <si>
    <t>Total Rent PSF</t>
  </si>
  <si>
    <t>% of Total Rent</t>
  </si>
  <si>
    <t>Total Rent ($)</t>
  </si>
  <si>
    <t>Base Rent PSF</t>
  </si>
  <si>
    <t>% of Base Rent</t>
  </si>
  <si>
    <t>Base Rent ($)</t>
  </si>
  <si>
    <t>% of SF</t>
  </si>
  <si>
    <t>Tenant SF (2)</t>
  </si>
  <si>
    <t>Credit Rating (MIS/S&amp;P/Fitch) (1)</t>
  </si>
  <si>
    <t>Tenant</t>
  </si>
  <si>
    <t>Lease backed by the Government of California; Tenant possesses the option to terminate lease on or after 8/31/2027</t>
  </si>
  <si>
    <t>Incoming GSA tenant. Lease commences in January 2024.</t>
  </si>
  <si>
    <t>Tenant Name</t>
  </si>
  <si>
    <t>Credit Rent Steps</t>
  </si>
  <si>
    <t>Reflects present value of contractual rent step increments for investment-grade tenants.</t>
  </si>
  <si>
    <t>Suite</t>
  </si>
  <si>
    <t>SF</t>
  </si>
  <si>
    <t>Step Date</t>
  </si>
  <si>
    <t>Annual Rent</t>
  </si>
  <si>
    <t>Current</t>
  </si>
  <si>
    <t>302</t>
  </si>
  <si>
    <t>303,  401</t>
  </si>
  <si>
    <t>304</t>
  </si>
  <si>
    <t>500,  601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</si>
</sst>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0\)"/>
    <numFmt numFmtId="165" formatCode="0.0%"/>
    <numFmt numFmtId="166" formatCode="0_);\(0\)"/>
  </numFmts>
  <fonts count="12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8"/>
      <name val="Arial"/>
      <family val="2"/>
    </font>
    <font>
      <b/>
      <sz val="22"/>
      <color rgb="FF002060"/>
      <name val="Arial"/>
      <family val="2"/>
    </font>
    <font>
      <sz val="11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002060"/>
      <name val="Arial"/>
      <family val="2"/>
    </font>
    <font>
      <b/>
      <sz val="10"/>
      <color rgb="FF002060"/>
      <name val="Arial"/>
      <family val="2"/>
    </font>
    <font>
      <sz val="9"/>
      <color indexed="8"/>
      <name val="Arial"/>
      <family val="2"/>
    </font>
    <font>
      <b/>
      <sz val="10"/>
      <color rgb="FF000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18"/>
      </bottom>
      <diagonal/>
    </border>
    <border>
      <left/>
      <right/>
      <top style="thick">
        <color indexed="18"/>
      </top>
      <bottom style="medium">
        <color indexed="1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hair">
        <color rgb="FF000080"/>
      </top>
      <bottom/>
      <diagonal/>
    </border>
    <border>
      <left/>
      <right/>
      <top style="hair">
        <color rgb="FF000080"/>
      </top>
      <bottom style="hair">
        <color rgb="FF000080"/>
      </bottom>
      <diagonal/>
    </border>
    <border>
      <left/>
      <right/>
      <top style="medium">
        <color rgb="FF000080"/>
      </top>
      <bottom style="hair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rgb="FF000080"/>
      </top>
      <bottom style="thin">
        <color theme="1"/>
      </bottom>
      <diagonal/>
    </border>
  </borders>
  <cellStyleXfs count="5">
    <xf numFmtId="0" fontId="0" fillId="0" borderId="0"/>
    <xf numFmtId="0" fontId="1" fillId="3" borderId="0"/>
    <xf numFmtId="0" fontId="4" fillId="0" borderId="19" applyNumberFormat="0" applyFill="0" applyProtection="0">
      <alignment horizontal="center"/>
    </xf>
    <xf numFmtId="0" fontId="6" fillId="0" borderId="0"/>
    <xf numFmtId="0" fontId="10" fillId="0" borderId="21" applyNumberFormat="0" applyFill="0" applyAlignment="0" applyProtection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3" fillId="0" borderId="0" xfId="0" applyFont="1"/>
    <xf numFmtId="0" fontId="0" fillId="0" borderId="1" xfId="0" applyBorder="1"/>
    <xf numFmtId="0" fontId="0" fillId="0" borderId="2" xfId="0" applyBorder="1"/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1" xfId="0" applyFont="1" applyBorder="1"/>
    <xf numFmtId="0" fontId="3" fillId="4" borderId="5" xfId="0" applyFont="1" applyFill="1" applyBorder="1"/>
    <xf numFmtId="0" fontId="3" fillId="4" borderId="13" xfId="0" applyFont="1" applyFill="1" applyBorder="1"/>
    <xf numFmtId="37" fontId="0" fillId="0" borderId="15" xfId="0" applyNumberFormat="1" applyBorder="1"/>
    <xf numFmtId="165" fontId="0" fillId="0" borderId="16" xfId="0" applyNumberFormat="1" applyBorder="1"/>
    <xf numFmtId="164" fontId="0" fillId="0" borderId="17" xfId="0" applyNumberFormat="1" applyBorder="1" applyAlignment="1">
      <alignment horizontal="center"/>
    </xf>
    <xf numFmtId="37" fontId="0" fillId="0" borderId="0" xfId="0" applyNumberFormat="1"/>
    <xf numFmtId="0" fontId="2" fillId="2" borderId="18" xfId="0" applyFont="1" applyFill="1" applyBorder="1" applyAlignment="1">
      <alignment horizontal="centerContinuous"/>
    </xf>
    <xf numFmtId="0" fontId="5" fillId="0" borderId="0" xfId="2" applyNumberFormat="1" applyFont="1" applyBorder="1" applyAlignment="1" applyProtection="1">
      <protection locked="0"/>
    </xf>
    <xf numFmtId="0" fontId="7" fillId="0" borderId="0" xfId="3" applyFont="1"/>
    <xf numFmtId="0" fontId="8" fillId="0" borderId="0" xfId="2" applyNumberFormat="1" applyFont="1" applyBorder="1" applyAlignment="1" applyProtection="1">
      <protection locked="0"/>
    </xf>
    <xf numFmtId="0" fontId="9" fillId="0" borderId="20" xfId="2" applyFont="1" applyBorder="1" applyAlignment="1">
      <alignment horizontal="center" vertical="center"/>
    </xf>
    <xf numFmtId="0" fontId="9" fillId="0" borderId="20" xfId="2" applyFont="1" applyBorder="1" applyAlignment="1">
      <alignment vertical="center" wrapText="1"/>
    </xf>
    <xf numFmtId="164" fontId="10" fillId="0" borderId="21" xfId="4" quotePrefix="1" applyNumberFormat="1" applyAlignment="1">
      <alignment horizontal="center" vertical="center"/>
    </xf>
    <xf numFmtId="0" fontId="10" fillId="0" borderId="21" xfId="4" applyAlignment="1">
      <alignment vertical="center" wrapText="1"/>
    </xf>
    <xf numFmtId="0" fontId="10" fillId="0" borderId="21" xfId="4" applyFill="1" applyAlignment="1">
      <alignment vertical="center" wrapText="1"/>
    </xf>
    <xf numFmtId="37" fontId="0" fillId="0" borderId="7" xfId="1" applyNumberFormat="1" applyFont="1" applyFill="1" applyBorder="1"/>
    <xf numFmtId="0" fontId="0" fillId="0" borderId="8" xfId="0" applyBorder="1"/>
    <xf numFmtId="0" fontId="0" fillId="0" borderId="22" xfId="0" applyBorder="1"/>
    <xf numFmtId="37" fontId="0" fillId="0" borderId="7" xfId="0" applyNumberFormat="1" applyBorder="1"/>
    <xf numFmtId="165" fontId="0" fillId="0" borderId="8" xfId="0" applyNumberFormat="1" applyBorder="1"/>
    <xf numFmtId="39" fontId="0" fillId="0" borderId="22" xfId="0" applyNumberFormat="1" applyBorder="1"/>
    <xf numFmtId="37" fontId="3" fillId="0" borderId="12" xfId="0" applyNumberFormat="1" applyFont="1" applyBorder="1"/>
    <xf numFmtId="165" fontId="3" fillId="0" borderId="11" xfId="0" applyNumberFormat="1" applyFont="1" applyBorder="1"/>
    <xf numFmtId="39" fontId="3" fillId="0" borderId="23" xfId="0" applyNumberFormat="1" applyFont="1" applyBorder="1"/>
    <xf numFmtId="37" fontId="3" fillId="4" borderId="4" xfId="0" applyNumberFormat="1" applyFont="1" applyFill="1" applyBorder="1"/>
    <xf numFmtId="165" fontId="3" fillId="4" borderId="5" xfId="0" applyNumberFormat="1" applyFont="1" applyFill="1" applyBorder="1"/>
    <xf numFmtId="39" fontId="3" fillId="4" borderId="6" xfId="0" applyNumberFormat="1" applyFont="1" applyFill="1" applyBorder="1"/>
    <xf numFmtId="37" fontId="3" fillId="4" borderId="14" xfId="0" applyNumberFormat="1" applyFont="1" applyFill="1" applyBorder="1"/>
    <xf numFmtId="165" fontId="3" fillId="4" borderId="13" xfId="0" applyNumberFormat="1" applyFont="1" applyFill="1" applyBorder="1"/>
    <xf numFmtId="39" fontId="3" fillId="4" borderId="24" xfId="0" applyNumberFormat="1" applyFont="1" applyFill="1" applyBorder="1"/>
    <xf numFmtId="37" fontId="0" fillId="0" borderId="1" xfId="0" applyNumberFormat="1" applyBorder="1"/>
    <xf numFmtId="165" fontId="0" fillId="0" borderId="0" xfId="0" applyNumberFormat="1"/>
    <xf numFmtId="39" fontId="0" fillId="0" borderId="2" xfId="0" applyNumberFormat="1" applyBorder="1"/>
    <xf numFmtId="37" fontId="3" fillId="0" borderId="14" xfId="0" applyNumberFormat="1" applyFont="1" applyBorder="1"/>
    <xf numFmtId="165" fontId="3" fillId="0" borderId="13" xfId="0" applyNumberFormat="1" applyFont="1" applyBorder="1"/>
    <xf numFmtId="39" fontId="3" fillId="0" borderId="24" xfId="0" applyNumberFormat="1" applyFont="1" applyBorder="1"/>
    <xf numFmtId="39" fontId="0" fillId="0" borderId="25" xfId="0" applyNumberFormat="1" applyBorder="1"/>
    <xf numFmtId="37" fontId="0" fillId="0" borderId="9" xfId="0" applyNumberFormat="1" applyBorder="1"/>
    <xf numFmtId="165" fontId="0" fillId="0" borderId="10" xfId="0" applyNumberFormat="1" applyBorder="1"/>
    <xf numFmtId="39" fontId="0" fillId="0" borderId="26" xfId="0" applyNumberFormat="1" applyBorder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0" fontId="0" fillId="4" borderId="27" xfId="0" applyFill="1" applyBorder="1" applyAlignment="1">
      <alignment horizontal="center"/>
    </xf>
    <xf numFmtId="39" fontId="0" fillId="4" borderId="27" xfId="0" applyNumberFormat="1" applyFill="1" applyBorder="1" applyAlignment="1">
      <alignment horizontal="center"/>
    </xf>
    <xf numFmtId="165" fontId="0" fillId="4" borderId="27" xfId="0" applyNumberFormat="1" applyFill="1" applyBorder="1" applyAlignment="1">
      <alignment horizontal="center"/>
    </xf>
    <xf numFmtId="37" fontId="0" fillId="4" borderId="27" xfId="0" applyNumberFormat="1" applyFill="1" applyBorder="1" applyAlignment="1">
      <alignment horizontal="center"/>
    </xf>
    <xf numFmtId="0" fontId="0" fillId="4" borderId="27" xfId="0" applyFill="1" applyBorder="1" applyAlignment="1">
      <alignment horizontal="left"/>
    </xf>
    <xf numFmtId="0" fontId="0" fillId="0" borderId="28" xfId="0" applyBorder="1" applyAlignment="1">
      <alignment horizontal="center"/>
    </xf>
    <xf numFmtId="39" fontId="0" fillId="0" borderId="28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37" fontId="0" fillId="0" borderId="28" xfId="0" applyNumberFormat="1" applyBorder="1" applyAlignment="1">
      <alignment horizontal="center"/>
    </xf>
    <xf numFmtId="0" fontId="0" fillId="0" borderId="28" xfId="0" applyBorder="1" applyAlignment="1">
      <alignment horizontal="left"/>
    </xf>
    <xf numFmtId="14" fontId="0" fillId="0" borderId="28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39" fontId="0" fillId="0" borderId="29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37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left"/>
    </xf>
    <xf numFmtId="14" fontId="0" fillId="0" borderId="30" xfId="0" applyNumberFormat="1" applyBorder="1" applyAlignment="1">
      <alignment horizontal="center"/>
    </xf>
    <xf numFmtId="39" fontId="0" fillId="0" borderId="30" xfId="0" applyNumberFormat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37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left"/>
    </xf>
    <xf numFmtId="0" fontId="11" fillId="0" borderId="31" xfId="0" applyFont="1" applyBorder="1" applyAlignment="1">
      <alignment horizontal="center" wrapText="1"/>
    </xf>
    <xf numFmtId="0" fontId="11" fillId="0" borderId="31" xfId="0" applyFont="1" applyBorder="1" applyAlignment="1">
      <alignment horizontal="center"/>
    </xf>
    <xf numFmtId="0" fontId="11" fillId="0" borderId="31" xfId="0" applyFont="1" applyBorder="1" applyAlignment="1">
      <alignment horizontal="left"/>
    </xf>
    <xf numFmtId="0" fontId="0" fillId="0" borderId="32" xfId="0" applyBorder="1" applyAlignment="1">
      <alignment horizontal="left" vertical="top" wrapText="1"/>
    </xf>
    <xf numFmtId="0" fontId="0" fillId="0" borderId="32" xfId="0" applyBorder="1" applyAlignment="1">
      <alignment vertical="top"/>
    </xf>
    <xf numFmtId="164" fontId="0" fillId="0" borderId="32" xfId="0" applyNumberFormat="1" applyBorder="1" applyAlignment="1">
      <alignment horizontal="center" vertical="top"/>
    </xf>
    <xf numFmtId="0" fontId="0" fillId="0" borderId="33" xfId="0" applyBorder="1" applyAlignment="1">
      <alignment vertical="top"/>
    </xf>
    <xf numFmtId="164" fontId="0" fillId="0" borderId="33" xfId="0" applyNumberFormat="1" applyBorder="1" applyAlignment="1">
      <alignment horizontal="center" vertical="top"/>
    </xf>
    <xf numFmtId="0" fontId="11" fillId="0" borderId="31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4" fillId="0" borderId="19" xfId="2" applyFill="1" applyAlignment="1">
      <alignment horizontal="left"/>
    </xf>
    <xf numFmtId="0" fontId="4" fillId="0" borderId="19" xfId="2" applyFill="1" applyAlignment="1">
      <alignment wrapText="1"/>
    </xf>
    <xf numFmtId="0" fontId="9" fillId="0" borderId="19" xfId="2" applyFont="1" applyFill="1" applyAlignment="1">
      <alignment horizontal="center" wrapText="1"/>
    </xf>
    <xf numFmtId="0" fontId="10" fillId="0" borderId="21" xfId="4" applyFill="1" applyAlignment="1">
      <alignment horizontal="center"/>
    </xf>
    <xf numFmtId="37" fontId="10" fillId="0" borderId="21" xfId="4" applyNumberFormat="1" applyFill="1" applyAlignment="1">
      <alignment horizontal="center"/>
    </xf>
    <xf numFmtId="14" fontId="10" fillId="0" borderId="21" xfId="4" applyNumberFormat="1" applyFill="1" applyAlignment="1">
      <alignment horizontal="center"/>
    </xf>
    <xf numFmtId="0" fontId="10" fillId="0" borderId="21" xfId="4" applyFill="1"/>
    <xf numFmtId="37" fontId="10" fillId="0" borderId="21" xfId="4" applyNumberFormat="1" applyFill="1"/>
    <xf numFmtId="14" fontId="10" fillId="0" borderId="21" xfId="4" applyNumberFormat="1" applyFill="1" applyAlignment="1">
      <alignment horizontal="right"/>
    </xf>
  </cellXfs>
  <cellStyles count="5">
    <cellStyle name="_Table 2 2" xfId="4" xr:uid="{2A5E11C4-BE1C-46A9-9329-4093686697DD}"/>
    <cellStyle name="_TableHead 2 2" xfId="2" xr:uid="{B4A89168-234B-491E-B53F-2B37D6C11D66}"/>
    <cellStyle name="Normal" xfId="0" builtinId="0"/>
    <cellStyle name="Normal 2 2" xfId="3" xr:uid="{3FFED3B8-CEA9-4D42-BBE4-3E339ADBC861}"/>
    <cellStyle name="Override OK" xfId="1" xr:uid="{1E28A2B7-07C7-4FF1-9655-D1056E4421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2" name="worksheetKey" descr="{&quot;key&quot;:&quot;worksheetKey&quot;,&quot;value&quot;:&quot;01969906-da22-436a-b705-ec22fdd218e6&quot;}" hidden="1">
          <a:extLst>
            <a:ext uri="{FF2B5EF4-FFF2-40B4-BE49-F238E27FC236}">
              <a16:creationId xmlns:a16="http://schemas.microsoft.com/office/drawing/2014/main" id="{B926D9A4-19A8-8752-C872-E1FC24F7C68A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0" cy="0"/>
    <xdr:sp macro="" textlink="">
      <xdr:nvSpPr>
        <xdr:cNvPr id="2" name="worksheetKey" descr="{&quot;key&quot;:&quot;worksheetKey&quot;,&quot;value&quot;:&quot;b4d4d706-13d8-401a-9385-55c8237c2f76&quot;}" hidden="1">
          <a:extLst>
            <a:ext uri="{FF2B5EF4-FFF2-40B4-BE49-F238E27FC236}">
              <a16:creationId xmlns:a16="http://schemas.microsoft.com/office/drawing/2014/main" id="{935F3525-D060-9153-C576-39DF580E7302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0" cy="0"/>
    <xdr:sp macro="" textlink="">
      <xdr:nvSpPr>
        <xdr:cNvPr id="2" name="worksheetKey" descr="{&quot;key&quot;:&quot;worksheetKey&quot;,&quot;value&quot;:&quot;2c7cc691-02d7-4086-9c7b-5719a540949a&quot;}" hidden="1">
          <a:extLst>
            <a:ext uri="{FF2B5EF4-FFF2-40B4-BE49-F238E27FC236}">
              <a16:creationId xmlns:a16="http://schemas.microsoft.com/office/drawing/2014/main" id="{93E8E3EC-1DFB-D7BB-8807-13B19613DBEF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0" cy="0"/>
    <xdr:sp macro="" textlink="">
      <xdr:nvSpPr>
        <xdr:cNvPr id="2" name="worksheetKey" descr="{&quot;key&quot;:&quot;worksheetKey&quot;,&quot;value&quot;:&quot;9b694543-6eee-4915-82b5-c41119af551d&quot;}" hidden="1">
          <a:extLst>
            <a:ext uri="{FF2B5EF4-FFF2-40B4-BE49-F238E27FC236}">
              <a16:creationId xmlns:a16="http://schemas.microsoft.com/office/drawing/2014/main" id="{7B84BAE5-B71F-6100-2F42-D4797CD80104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2" name="worksheetKey" descr="{&quot;key&quot;:&quot;worksheetKey&quot;,&quot;value&quot;:&quot;e4ead656-a5bc-4dda-a6ed-c7541cf933bc&quot;}" hidden="1">
          <a:extLst>
            <a:ext uri="{FF2B5EF4-FFF2-40B4-BE49-F238E27FC236}">
              <a16:creationId xmlns:a16="http://schemas.microsoft.com/office/drawing/2014/main" id="{2D15D498-E142-D9A9-5A79-C85E0C1CC15D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_IBD">
      <a:dk1>
        <a:srgbClr val="000000"/>
      </a:dk1>
      <a:lt1>
        <a:srgbClr val="FFFFFF"/>
      </a:lt1>
      <a:dk2>
        <a:srgbClr val="00355F"/>
      </a:dk2>
      <a:lt2>
        <a:srgbClr val="4D4D4D"/>
      </a:lt2>
      <a:accent1>
        <a:srgbClr val="20396D"/>
      </a:accent1>
      <a:accent2>
        <a:srgbClr val="7399C6"/>
      </a:accent2>
      <a:accent3>
        <a:srgbClr val="AC0000"/>
      </a:accent3>
      <a:accent4>
        <a:srgbClr val="F48A20"/>
      </a:accent4>
      <a:accent5>
        <a:srgbClr val="E3D900"/>
      </a:accent5>
      <a:accent6>
        <a:srgbClr val="339966"/>
      </a:accent6>
      <a:hlink>
        <a:srgbClr val="0000FF"/>
      </a:hlink>
      <a:folHlink>
        <a:srgbClr val="FF00F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1EE3-9EC9-454C-9048-35F7FD61DF07}">
  <dimension ref="A2:M49"/>
  <sheetViews>
    <sheetView showGridLines="0" tabSelected="1" view="pageBreakPreview" topLeftCell="B1" zoomScale="120" zoomScaleNormal="100" zoomScaleSheetLayoutView="120" workbookViewId="0">
      <selection activeCell="B1" sqref="B1"/>
    </sheetView>
  </sheetViews>
  <sheetFormatPr defaultRowHeight="12.75" x14ac:dyDescent="0.2"/>
  <cols>
    <col min="1" max="1" width="9.140625" hidden="1" customWidth="1"/>
    <col min="2" max="2" width="5.7109375" customWidth="1"/>
    <col min="3" max="3" width="41.7109375" customWidth="1"/>
    <col min="4" max="4" width="9.7109375" bestFit="1" customWidth="1"/>
    <col min="7" max="7" width="10.7109375" bestFit="1" customWidth="1"/>
    <col min="10" max="10" width="10.7109375" bestFit="1" customWidth="1"/>
    <col min="13" max="13" width="5.7109375" bestFit="1" customWidth="1"/>
    <col min="14" max="14" width="2" customWidth="1"/>
    <col min="16" max="16" width="35.85546875" customWidth="1"/>
    <col min="17" max="17" width="12.7109375" customWidth="1"/>
    <col min="20" max="20" width="12.7109375" customWidth="1"/>
    <col min="23" max="23" width="12.7109375" customWidth="1"/>
    <col min="26" max="26" width="6.7109375" customWidth="1"/>
  </cols>
  <sheetData>
    <row r="2" spans="3:13" x14ac:dyDescent="0.2">
      <c r="D2" s="1" t="s">
        <v>0</v>
      </c>
      <c r="E2" s="2"/>
      <c r="F2" s="3"/>
      <c r="G2" s="1" t="s">
        <v>1</v>
      </c>
      <c r="H2" s="2"/>
      <c r="I2" s="3"/>
      <c r="J2" s="1" t="s">
        <v>2</v>
      </c>
      <c r="K2" s="2"/>
      <c r="L2" s="3"/>
      <c r="M2" s="20" t="s">
        <v>3</v>
      </c>
    </row>
    <row r="3" spans="3:13" x14ac:dyDescent="0.2">
      <c r="C3" s="4" t="s">
        <v>4</v>
      </c>
      <c r="D3" s="5"/>
      <c r="F3" s="6"/>
      <c r="G3" s="5"/>
      <c r="I3" s="6"/>
      <c r="J3" s="5"/>
      <c r="L3" s="6"/>
      <c r="M3" s="7"/>
    </row>
    <row r="4" spans="3:13" x14ac:dyDescent="0.2">
      <c r="C4" s="8" t="s">
        <v>5</v>
      </c>
      <c r="D4" s="29">
        <v>274758</v>
      </c>
      <c r="E4" s="30"/>
      <c r="F4" s="31"/>
      <c r="G4" s="32">
        <v>274758</v>
      </c>
      <c r="H4" s="30"/>
      <c r="I4" s="31"/>
      <c r="J4" s="32">
        <v>274758</v>
      </c>
      <c r="K4" s="30"/>
      <c r="L4" s="31"/>
      <c r="M4" s="7"/>
    </row>
    <row r="5" spans="3:13" x14ac:dyDescent="0.2">
      <c r="D5" s="5"/>
      <c r="F5" s="6"/>
      <c r="G5" s="5"/>
      <c r="I5" s="6"/>
      <c r="J5" s="5"/>
      <c r="L5" s="6"/>
      <c r="M5" s="7"/>
    </row>
    <row r="6" spans="3:13" x14ac:dyDescent="0.2">
      <c r="D6" s="9" t="s">
        <v>6</v>
      </c>
      <c r="E6" s="10" t="s">
        <v>9</v>
      </c>
      <c r="F6" s="11" t="s">
        <v>8</v>
      </c>
      <c r="G6" s="9" t="s">
        <v>6</v>
      </c>
      <c r="H6" s="10" t="s">
        <v>7</v>
      </c>
      <c r="I6" s="11" t="s">
        <v>8</v>
      </c>
      <c r="J6" s="9" t="s">
        <v>6</v>
      </c>
      <c r="K6" s="10" t="s">
        <v>9</v>
      </c>
      <c r="L6" s="11" t="s">
        <v>8</v>
      </c>
      <c r="M6" s="7"/>
    </row>
    <row r="7" spans="3:13" x14ac:dyDescent="0.2">
      <c r="C7" s="4" t="s">
        <v>10</v>
      </c>
      <c r="D7" s="5"/>
      <c r="F7" s="6"/>
      <c r="G7" s="5"/>
      <c r="I7" s="6"/>
      <c r="J7" s="5"/>
      <c r="L7" s="6"/>
      <c r="M7" s="7"/>
    </row>
    <row r="8" spans="3:13" x14ac:dyDescent="0.2">
      <c r="C8" s="8" t="s">
        <v>63</v>
      </c>
      <c r="D8" s="32">
        <v>0</v>
      </c>
      <c r="E8" s="33">
        <v>0</v>
      </c>
      <c r="F8" s="34">
        <v>0</v>
      </c>
      <c r="G8" s="32">
        <v>9223075.9916399997</v>
      </c>
      <c r="H8" s="33">
        <v>0.67789483104586279</v>
      </c>
      <c r="I8" s="34">
        <v>33.567997989649072</v>
      </c>
      <c r="J8" s="32">
        <v>9223075.9916399997</v>
      </c>
      <c r="K8" s="33">
        <v>0.65488893704811013</v>
      </c>
      <c r="L8" s="34">
        <v>33.567997989649072</v>
      </c>
      <c r="M8" s="7">
        <v>1</v>
      </c>
    </row>
    <row r="9" spans="3:13" x14ac:dyDescent="0.2">
      <c r="C9" s="8" t="s">
        <v>64</v>
      </c>
      <c r="D9" s="32">
        <v>9399469.4900000002</v>
      </c>
      <c r="E9" s="33">
        <v>0.97692660146864951</v>
      </c>
      <c r="F9" s="34">
        <v>34.209993849132694</v>
      </c>
      <c r="G9" s="32">
        <v>4160391.36</v>
      </c>
      <c r="H9" s="33">
        <v>0.30578819914616956</v>
      </c>
      <c r="I9" s="34">
        <v>15.142020832878387</v>
      </c>
      <c r="J9" s="32">
        <v>4160391.36</v>
      </c>
      <c r="K9" s="33">
        <v>0.29541058513712493</v>
      </c>
      <c r="L9" s="34">
        <v>15.142020832878387</v>
      </c>
      <c r="M9" s="7">
        <v>1</v>
      </c>
    </row>
    <row r="10" spans="3:13" x14ac:dyDescent="0.2">
      <c r="C10" s="13" t="s">
        <v>11</v>
      </c>
      <c r="D10" s="35">
        <v>9399469.4900000002</v>
      </c>
      <c r="E10" s="36">
        <v>0.97692660146864951</v>
      </c>
      <c r="F10" s="37">
        <v>34.209993849132694</v>
      </c>
      <c r="G10" s="35">
        <v>13383467.351639999</v>
      </c>
      <c r="H10" s="36">
        <v>0.98368303019203229</v>
      </c>
      <c r="I10" s="37">
        <v>48.710018822527459</v>
      </c>
      <c r="J10" s="35">
        <v>13383467.351639999</v>
      </c>
      <c r="K10" s="36">
        <v>0.95029952218523495</v>
      </c>
      <c r="L10" s="37">
        <v>48.710018822527459</v>
      </c>
      <c r="M10" s="7"/>
    </row>
    <row r="11" spans="3:13" x14ac:dyDescent="0.2">
      <c r="C11" s="4" t="s">
        <v>12</v>
      </c>
      <c r="D11" s="5"/>
      <c r="F11" s="6"/>
      <c r="G11" s="5"/>
      <c r="I11" s="6"/>
      <c r="J11" s="5"/>
      <c r="L11" s="6"/>
      <c r="M11" s="7"/>
    </row>
    <row r="12" spans="3:13" x14ac:dyDescent="0.2">
      <c r="C12" s="8" t="s">
        <v>13</v>
      </c>
      <c r="D12" s="32">
        <v>84000</v>
      </c>
      <c r="E12" s="33">
        <v>8.7304751199704725E-3</v>
      </c>
      <c r="F12" s="34">
        <v>0.3057235822068875</v>
      </c>
      <c r="G12" s="32">
        <v>84000</v>
      </c>
      <c r="H12" s="33">
        <v>6.1739885759877749E-3</v>
      </c>
      <c r="I12" s="34">
        <v>0.3057235822068875</v>
      </c>
      <c r="J12" s="32">
        <v>264407.99999999988</v>
      </c>
      <c r="K12" s="33">
        <v>1.877441693248226E-2</v>
      </c>
      <c r="L12" s="34">
        <v>0.96233048719236525</v>
      </c>
      <c r="M12" s="7">
        <v>2</v>
      </c>
    </row>
    <row r="13" spans="3:13" x14ac:dyDescent="0.2">
      <c r="C13" s="13" t="s">
        <v>14</v>
      </c>
      <c r="D13" s="35">
        <v>84000</v>
      </c>
      <c r="E13" s="36">
        <v>8.7304751199704725E-3</v>
      </c>
      <c r="F13" s="37">
        <v>0.3057235822068875</v>
      </c>
      <c r="G13" s="35">
        <v>84000</v>
      </c>
      <c r="H13" s="36">
        <v>6.1739885759877749E-3</v>
      </c>
      <c r="I13" s="37">
        <v>0.3057235822068875</v>
      </c>
      <c r="J13" s="35">
        <v>264407.99999999988</v>
      </c>
      <c r="K13" s="36">
        <v>1.877441693248226E-2</v>
      </c>
      <c r="L13" s="37">
        <v>0.96233048719236525</v>
      </c>
      <c r="M13" s="7"/>
    </row>
    <row r="14" spans="3:13" x14ac:dyDescent="0.2">
      <c r="C14" s="4" t="s">
        <v>65</v>
      </c>
      <c r="D14" s="5"/>
      <c r="F14" s="6"/>
      <c r="G14" s="5"/>
      <c r="I14" s="6"/>
      <c r="J14" s="5"/>
      <c r="L14" s="6"/>
      <c r="M14" s="7"/>
    </row>
    <row r="15" spans="3:13" x14ac:dyDescent="0.2">
      <c r="C15" s="8" t="s">
        <v>66</v>
      </c>
      <c r="D15" s="32">
        <v>0</v>
      </c>
      <c r="E15" s="33">
        <v>0</v>
      </c>
      <c r="F15" s="34">
        <v>0</v>
      </c>
      <c r="G15" s="32">
        <v>0</v>
      </c>
      <c r="H15" s="33">
        <v>0</v>
      </c>
      <c r="I15" s="34">
        <v>0</v>
      </c>
      <c r="J15" s="32">
        <v>297544.70613759162</v>
      </c>
      <c r="K15" s="33">
        <v>2.1127304654473621E-2</v>
      </c>
      <c r="L15" s="34">
        <v>1.082933731274764</v>
      </c>
      <c r="M15" s="7">
        <v>3</v>
      </c>
    </row>
    <row r="16" spans="3:13" x14ac:dyDescent="0.2">
      <c r="C16" s="13" t="s">
        <v>67</v>
      </c>
      <c r="D16" s="35">
        <v>0</v>
      </c>
      <c r="E16" s="36">
        <v>0</v>
      </c>
      <c r="F16" s="37">
        <v>0</v>
      </c>
      <c r="G16" s="35">
        <v>0</v>
      </c>
      <c r="H16" s="36">
        <v>0</v>
      </c>
      <c r="I16" s="37">
        <v>0</v>
      </c>
      <c r="J16" s="35">
        <v>297544.70613759162</v>
      </c>
      <c r="K16" s="36">
        <v>2.1127304654473621E-2</v>
      </c>
      <c r="L16" s="37">
        <v>1.082933731274764</v>
      </c>
      <c r="M16" s="7"/>
    </row>
    <row r="17" spans="3:13" x14ac:dyDescent="0.2">
      <c r="C17" s="4" t="s">
        <v>15</v>
      </c>
      <c r="D17" s="5"/>
      <c r="F17" s="6"/>
      <c r="G17" s="5"/>
      <c r="I17" s="6"/>
      <c r="J17" s="5"/>
      <c r="L17" s="6"/>
      <c r="M17" s="7"/>
    </row>
    <row r="18" spans="3:13" x14ac:dyDescent="0.2">
      <c r="C18" s="8" t="s">
        <v>16</v>
      </c>
      <c r="D18" s="32">
        <v>72000</v>
      </c>
      <c r="E18" s="33">
        <v>7.4832643885461196E-3</v>
      </c>
      <c r="F18" s="34">
        <v>0.26204878474876075</v>
      </c>
      <c r="G18" s="32">
        <v>72000</v>
      </c>
      <c r="H18" s="33">
        <v>5.2919902079895213E-3</v>
      </c>
      <c r="I18" s="34">
        <v>0.26204878474876075</v>
      </c>
      <c r="J18" s="32">
        <v>72000</v>
      </c>
      <c r="K18" s="33">
        <v>5.1123945536395389E-3</v>
      </c>
      <c r="L18" s="34">
        <v>0.26204878474876075</v>
      </c>
      <c r="M18" s="7">
        <v>4</v>
      </c>
    </row>
    <row r="19" spans="3:13" x14ac:dyDescent="0.2">
      <c r="C19" s="8" t="s">
        <v>17</v>
      </c>
      <c r="D19" s="32">
        <v>66000</v>
      </c>
      <c r="E19" s="33">
        <v>6.8596590228339437E-3</v>
      </c>
      <c r="F19" s="34">
        <v>0.24021138601969733</v>
      </c>
      <c r="G19" s="32">
        <v>66000</v>
      </c>
      <c r="H19" s="33">
        <v>4.8509910239903946E-3</v>
      </c>
      <c r="I19" s="34">
        <v>0.24021138601969733</v>
      </c>
      <c r="J19" s="32">
        <v>66000</v>
      </c>
      <c r="K19" s="33">
        <v>4.6863616741695778E-3</v>
      </c>
      <c r="L19" s="34">
        <v>0.24021138601969733</v>
      </c>
      <c r="M19" s="7">
        <v>5</v>
      </c>
    </row>
    <row r="20" spans="3:13" x14ac:dyDescent="0.2">
      <c r="C20" s="13" t="s">
        <v>18</v>
      </c>
      <c r="D20" s="35">
        <v>138000</v>
      </c>
      <c r="E20" s="36">
        <v>1.4342923411380062E-2</v>
      </c>
      <c r="F20" s="37">
        <v>0.50226017076845808</v>
      </c>
      <c r="G20" s="35">
        <v>138000</v>
      </c>
      <c r="H20" s="36">
        <v>1.0142981231979915E-2</v>
      </c>
      <c r="I20" s="37">
        <v>0.50226017076845808</v>
      </c>
      <c r="J20" s="35">
        <v>138000</v>
      </c>
      <c r="K20" s="36">
        <v>9.7987562278091175E-3</v>
      </c>
      <c r="L20" s="37">
        <v>0.50226017076845808</v>
      </c>
      <c r="M20" s="7"/>
    </row>
    <row r="21" spans="3:13" x14ac:dyDescent="0.2">
      <c r="C21" s="13" t="s">
        <v>19</v>
      </c>
      <c r="D21" s="35">
        <v>9621469.4900000002</v>
      </c>
      <c r="E21" s="36">
        <v>1</v>
      </c>
      <c r="F21" s="37">
        <v>35.01797760210804</v>
      </c>
      <c r="G21" s="35">
        <v>13605467.351639999</v>
      </c>
      <c r="H21" s="36">
        <v>1</v>
      </c>
      <c r="I21" s="37">
        <v>49.518002575502805</v>
      </c>
      <c r="J21" s="35">
        <v>14083420.057777591</v>
      </c>
      <c r="K21" s="36">
        <v>1</v>
      </c>
      <c r="L21" s="37">
        <v>51.257543211763043</v>
      </c>
      <c r="M21" s="7"/>
    </row>
    <row r="22" spans="3:13" x14ac:dyDescent="0.2">
      <c r="C22" s="4" t="s">
        <v>20</v>
      </c>
      <c r="D22" s="5"/>
      <c r="F22" s="6"/>
      <c r="G22" s="5"/>
      <c r="I22" s="6"/>
      <c r="J22" s="5"/>
      <c r="L22" s="6"/>
      <c r="M22" s="7"/>
    </row>
    <row r="23" spans="3:13" x14ac:dyDescent="0.2">
      <c r="C23" s="8" t="s">
        <v>21</v>
      </c>
      <c r="D23" s="32">
        <v>0</v>
      </c>
      <c r="E23" s="33">
        <v>0</v>
      </c>
      <c r="F23" s="34">
        <v>0</v>
      </c>
      <c r="G23" s="32">
        <v>0</v>
      </c>
      <c r="H23" s="33">
        <v>0</v>
      </c>
      <c r="I23" s="34">
        <v>0</v>
      </c>
      <c r="J23" s="32">
        <v>-455337.85590107023</v>
      </c>
      <c r="K23" s="33">
        <v>-3.23314829802019E-2</v>
      </c>
      <c r="L23" s="34">
        <v>-1.6572323859580802</v>
      </c>
      <c r="M23" s="7">
        <v>6</v>
      </c>
    </row>
    <row r="24" spans="3:13" x14ac:dyDescent="0.2">
      <c r="C24" s="13" t="s">
        <v>22</v>
      </c>
      <c r="D24" s="35">
        <v>0</v>
      </c>
      <c r="E24" s="36">
        <v>0</v>
      </c>
      <c r="F24" s="37">
        <v>0</v>
      </c>
      <c r="G24" s="35">
        <v>0</v>
      </c>
      <c r="H24" s="36">
        <v>0</v>
      </c>
      <c r="I24" s="37">
        <v>0</v>
      </c>
      <c r="J24" s="35">
        <v>-455337.85590107023</v>
      </c>
      <c r="K24" s="36">
        <v>-3.23314829802019E-2</v>
      </c>
      <c r="L24" s="37">
        <v>-1.6572323859580802</v>
      </c>
      <c r="M24" s="7"/>
    </row>
    <row r="25" spans="3:13" x14ac:dyDescent="0.2">
      <c r="C25" s="14" t="s">
        <v>23</v>
      </c>
      <c r="D25" s="38">
        <v>9621469.4900000002</v>
      </c>
      <c r="E25" s="39">
        <v>1</v>
      </c>
      <c r="F25" s="40">
        <v>35.01797760210804</v>
      </c>
      <c r="G25" s="38">
        <v>13605467.351639999</v>
      </c>
      <c r="H25" s="39">
        <v>1</v>
      </c>
      <c r="I25" s="40">
        <v>49.518002575502805</v>
      </c>
      <c r="J25" s="38">
        <v>13628082.201876521</v>
      </c>
      <c r="K25" s="39">
        <v>0.96766851701979817</v>
      </c>
      <c r="L25" s="40">
        <v>49.600310825804968</v>
      </c>
      <c r="M25" s="7"/>
    </row>
    <row r="26" spans="3:13" x14ac:dyDescent="0.2">
      <c r="C26" s="4" t="s">
        <v>24</v>
      </c>
      <c r="D26" s="5"/>
      <c r="F26" s="6"/>
      <c r="G26" s="5"/>
      <c r="I26" s="6"/>
      <c r="J26" s="5"/>
      <c r="L26" s="6"/>
      <c r="M26" s="7"/>
    </row>
    <row r="27" spans="3:13" x14ac:dyDescent="0.2">
      <c r="C27" s="8" t="s">
        <v>25</v>
      </c>
      <c r="D27" s="32">
        <v>780092</v>
      </c>
      <c r="E27" s="33">
        <v>8.1078259491523891E-2</v>
      </c>
      <c r="F27" s="34">
        <v>2.8391966748920869</v>
      </c>
      <c r="G27" s="32">
        <v>780092</v>
      </c>
      <c r="H27" s="33">
        <v>5.7336655907374467E-2</v>
      </c>
      <c r="I27" s="34">
        <v>2.8391966748920869</v>
      </c>
      <c r="J27" s="32">
        <v>960499.99999999988</v>
      </c>
      <c r="K27" s="33">
        <v>7.0479469214512341E-2</v>
      </c>
      <c r="L27" s="34">
        <v>3.4958035798775646</v>
      </c>
      <c r="M27" s="7">
        <v>7</v>
      </c>
    </row>
    <row r="28" spans="3:13" x14ac:dyDescent="0.2">
      <c r="C28" s="8" t="s">
        <v>26</v>
      </c>
      <c r="D28" s="32">
        <v>306000</v>
      </c>
      <c r="E28" s="33">
        <v>3.1803873651321007E-2</v>
      </c>
      <c r="F28" s="34">
        <v>1.1137073351822331</v>
      </c>
      <c r="G28" s="32">
        <v>306000</v>
      </c>
      <c r="H28" s="33">
        <v>2.2490958383955467E-2</v>
      </c>
      <c r="I28" s="34">
        <v>1.1137073351822331</v>
      </c>
      <c r="J28" s="32">
        <v>306000</v>
      </c>
      <c r="K28" s="33">
        <v>2.2453636209933139E-2</v>
      </c>
      <c r="L28" s="34">
        <v>1.1137073351822331</v>
      </c>
      <c r="M28" s="7">
        <v>8</v>
      </c>
    </row>
    <row r="29" spans="3:13" x14ac:dyDescent="0.2">
      <c r="C29" s="13" t="s">
        <v>27</v>
      </c>
      <c r="D29" s="35">
        <v>1086092</v>
      </c>
      <c r="E29" s="36">
        <v>0.1128821331428449</v>
      </c>
      <c r="F29" s="37">
        <v>3.9529040100743198</v>
      </c>
      <c r="G29" s="35">
        <v>1086092</v>
      </c>
      <c r="H29" s="36">
        <v>7.9827614291329937E-2</v>
      </c>
      <c r="I29" s="37">
        <v>3.9529040100743198</v>
      </c>
      <c r="J29" s="35">
        <v>1266500</v>
      </c>
      <c r="K29" s="36">
        <v>9.2933105424445495E-2</v>
      </c>
      <c r="L29" s="37">
        <v>4.6095109150597979</v>
      </c>
      <c r="M29" s="7"/>
    </row>
    <row r="30" spans="3:13" x14ac:dyDescent="0.2">
      <c r="C30" s="4" t="s">
        <v>28</v>
      </c>
      <c r="D30" s="5"/>
      <c r="F30" s="6"/>
      <c r="G30" s="5"/>
      <c r="I30" s="6"/>
      <c r="J30" s="5"/>
      <c r="L30" s="6"/>
      <c r="M30" s="7"/>
    </row>
    <row r="31" spans="3:13" x14ac:dyDescent="0.2">
      <c r="C31" s="8" t="s">
        <v>29</v>
      </c>
      <c r="D31" s="32">
        <v>276580</v>
      </c>
      <c r="E31" s="33">
        <v>2.8746128674778972E-2</v>
      </c>
      <c r="F31" s="34">
        <v>1.0066312900807255</v>
      </c>
      <c r="G31" s="32">
        <v>276580</v>
      </c>
      <c r="H31" s="33">
        <v>2.0328592385079749E-2</v>
      </c>
      <c r="I31" s="34">
        <v>1.0066312900807255</v>
      </c>
      <c r="J31" s="32">
        <v>276580</v>
      </c>
      <c r="K31" s="33">
        <v>2.0294858506350679E-2</v>
      </c>
      <c r="L31" s="34">
        <v>1.0066312900807255</v>
      </c>
      <c r="M31" s="7">
        <v>9</v>
      </c>
    </row>
    <row r="32" spans="3:13" x14ac:dyDescent="0.2">
      <c r="C32" s="8" t="s">
        <v>30</v>
      </c>
      <c r="D32" s="32">
        <v>817537</v>
      </c>
      <c r="E32" s="33">
        <v>8.4970076644705961E-2</v>
      </c>
      <c r="F32" s="34">
        <v>2.9754802407937166</v>
      </c>
      <c r="G32" s="32">
        <v>817537</v>
      </c>
      <c r="H32" s="33">
        <v>6.0088858314849017E-2</v>
      </c>
      <c r="I32" s="34">
        <v>2.9754802407937166</v>
      </c>
      <c r="J32" s="32">
        <v>817537</v>
      </c>
      <c r="K32" s="33">
        <v>5.9989145052810812E-2</v>
      </c>
      <c r="L32" s="34">
        <v>2.9754802407937166</v>
      </c>
      <c r="M32" s="7">
        <v>10</v>
      </c>
    </row>
    <row r="33" spans="3:13" x14ac:dyDescent="0.2">
      <c r="C33" s="8" t="s">
        <v>31</v>
      </c>
      <c r="D33" s="32">
        <v>372000</v>
      </c>
      <c r="E33" s="33">
        <v>3.8663532674154955E-2</v>
      </c>
      <c r="F33" s="34">
        <v>1.3539187212019304</v>
      </c>
      <c r="G33" s="32">
        <v>372000</v>
      </c>
      <c r="H33" s="33">
        <v>2.7341949407945858E-2</v>
      </c>
      <c r="I33" s="34">
        <v>1.3539187212019304</v>
      </c>
      <c r="J33" s="32">
        <v>372000</v>
      </c>
      <c r="K33" s="33">
        <v>2.7296577353252052E-2</v>
      </c>
      <c r="L33" s="34">
        <v>1.3539187212019304</v>
      </c>
      <c r="M33" s="7">
        <v>11</v>
      </c>
    </row>
    <row r="34" spans="3:13" x14ac:dyDescent="0.2">
      <c r="C34" s="8" t="s">
        <v>32</v>
      </c>
      <c r="D34" s="32">
        <v>388236</v>
      </c>
      <c r="E34" s="33">
        <v>4.0351008793772104E-2</v>
      </c>
      <c r="F34" s="34">
        <v>1.4130107221627759</v>
      </c>
      <c r="G34" s="32">
        <v>408164.02054919995</v>
      </c>
      <c r="H34" s="33">
        <v>0.03</v>
      </c>
      <c r="I34" s="34">
        <v>1.485540077265084</v>
      </c>
      <c r="J34" s="32">
        <v>408842.46605629561</v>
      </c>
      <c r="K34" s="33">
        <v>0.03</v>
      </c>
      <c r="L34" s="34">
        <v>1.4880093247741488</v>
      </c>
      <c r="M34" s="7">
        <v>12</v>
      </c>
    </row>
    <row r="35" spans="3:13" x14ac:dyDescent="0.2">
      <c r="C35" s="8" t="s">
        <v>33</v>
      </c>
      <c r="D35" s="32">
        <v>314303</v>
      </c>
      <c r="E35" s="33">
        <v>3.266683954323904E-2</v>
      </c>
      <c r="F35" s="34">
        <v>1.1439266554568019</v>
      </c>
      <c r="G35" s="32">
        <v>314303</v>
      </c>
      <c r="H35" s="33">
        <v>2.3101227754746257E-2</v>
      </c>
      <c r="I35" s="34">
        <v>1.1439266554568019</v>
      </c>
      <c r="J35" s="32">
        <v>314303</v>
      </c>
      <c r="K35" s="33">
        <v>2.3062892881341879E-2</v>
      </c>
      <c r="L35" s="34">
        <v>1.1439266554568019</v>
      </c>
      <c r="M35" s="7">
        <v>13</v>
      </c>
    </row>
    <row r="36" spans="3:13" x14ac:dyDescent="0.2">
      <c r="C36" s="13" t="s">
        <v>34</v>
      </c>
      <c r="D36" s="35">
        <v>2168656</v>
      </c>
      <c r="E36" s="36">
        <v>0.22539758633065102</v>
      </c>
      <c r="F36" s="37">
        <v>7.892967629695951</v>
      </c>
      <c r="G36" s="35">
        <v>2188584.0205492</v>
      </c>
      <c r="H36" s="36">
        <v>0.1608606278626209</v>
      </c>
      <c r="I36" s="37">
        <v>7.9654969847982589</v>
      </c>
      <c r="J36" s="35">
        <v>2189262.4660562957</v>
      </c>
      <c r="K36" s="36">
        <v>0.16064347379375543</v>
      </c>
      <c r="L36" s="37">
        <v>7.9679662323073241</v>
      </c>
      <c r="M36" s="7"/>
    </row>
    <row r="37" spans="3:13" x14ac:dyDescent="0.2">
      <c r="C37" s="13" t="s">
        <v>35</v>
      </c>
      <c r="D37" s="35">
        <v>3254748</v>
      </c>
      <c r="E37" s="36">
        <v>0.33827971947349594</v>
      </c>
      <c r="F37" s="37">
        <v>11.845871639770271</v>
      </c>
      <c r="G37" s="35">
        <v>3274676.0205492</v>
      </c>
      <c r="H37" s="36">
        <v>0.24068824215395082</v>
      </c>
      <c r="I37" s="37">
        <v>11.918400994872579</v>
      </c>
      <c r="J37" s="35">
        <v>3455762.4660562957</v>
      </c>
      <c r="K37" s="36">
        <v>0.25357657921820093</v>
      </c>
      <c r="L37" s="37">
        <v>12.577477147367121</v>
      </c>
      <c r="M37" s="7"/>
    </row>
    <row r="38" spans="3:13" ht="13.5" thickBot="1" x14ac:dyDescent="0.25">
      <c r="C38" s="15" t="s">
        <v>36</v>
      </c>
      <c r="D38" s="41">
        <v>6366721.4900000002</v>
      </c>
      <c r="E38" s="42">
        <v>0.66172028052650411</v>
      </c>
      <c r="F38" s="43">
        <v>23.172105962337767</v>
      </c>
      <c r="G38" s="41">
        <v>10330791.331090799</v>
      </c>
      <c r="H38" s="42">
        <v>0.7593117578460491</v>
      </c>
      <c r="I38" s="43">
        <v>37.599601580630221</v>
      </c>
      <c r="J38" s="41">
        <v>10172319.735820226</v>
      </c>
      <c r="K38" s="42">
        <v>0.74642342078179913</v>
      </c>
      <c r="L38" s="43">
        <v>37.022833678437848</v>
      </c>
      <c r="M38" s="7"/>
    </row>
    <row r="39" spans="3:13" ht="13.5" thickTop="1" x14ac:dyDescent="0.2">
      <c r="C39" s="8" t="s">
        <v>37</v>
      </c>
      <c r="D39" s="44">
        <v>0</v>
      </c>
      <c r="E39" s="45">
        <v>0</v>
      </c>
      <c r="F39" s="46">
        <v>0</v>
      </c>
      <c r="G39" s="44">
        <v>0</v>
      </c>
      <c r="H39" s="45">
        <v>0</v>
      </c>
      <c r="I39" s="46">
        <v>0</v>
      </c>
      <c r="J39" s="44">
        <v>54951.600000000006</v>
      </c>
      <c r="K39" s="45">
        <v>4.0322327959273268E-3</v>
      </c>
      <c r="L39" s="46">
        <v>0.2</v>
      </c>
      <c r="M39" s="7">
        <v>14</v>
      </c>
    </row>
    <row r="40" spans="3:13" ht="13.5" thickBot="1" x14ac:dyDescent="0.25">
      <c r="C40" s="13" t="s">
        <v>38</v>
      </c>
      <c r="D40" s="47">
        <v>6366721.4900000002</v>
      </c>
      <c r="E40" s="48">
        <v>0.66172028052650411</v>
      </c>
      <c r="F40" s="49">
        <v>23.172105962337767</v>
      </c>
      <c r="G40" s="47">
        <v>10330791.331090799</v>
      </c>
      <c r="H40" s="48">
        <v>0.7593117578460491</v>
      </c>
      <c r="I40" s="49">
        <v>37.599601580630221</v>
      </c>
      <c r="J40" s="47">
        <v>10117368.135820227</v>
      </c>
      <c r="K40" s="48">
        <v>0.74239118798587189</v>
      </c>
      <c r="L40" s="49">
        <v>36.822833678437853</v>
      </c>
      <c r="M40" s="7"/>
    </row>
    <row r="41" spans="3:13" ht="13.5" thickTop="1" x14ac:dyDescent="0.2">
      <c r="C41" s="8" t="s">
        <v>39</v>
      </c>
      <c r="D41" s="16">
        <v>0</v>
      </c>
      <c r="E41" s="17">
        <v>0</v>
      </c>
      <c r="F41" s="50">
        <v>0</v>
      </c>
      <c r="G41" s="16">
        <v>0</v>
      </c>
      <c r="H41" s="17">
        <v>0</v>
      </c>
      <c r="I41" s="50">
        <v>0</v>
      </c>
      <c r="J41" s="16">
        <v>81933.642442430268</v>
      </c>
      <c r="K41" s="17">
        <v>6.01211830312767E-3</v>
      </c>
      <c r="L41" s="50">
        <v>0.29820293655664354</v>
      </c>
      <c r="M41" s="7">
        <v>15</v>
      </c>
    </row>
    <row r="42" spans="3:13" x14ac:dyDescent="0.2">
      <c r="C42" s="8" t="s">
        <v>40</v>
      </c>
      <c r="D42" s="51">
        <v>0</v>
      </c>
      <c r="E42" s="52">
        <v>0</v>
      </c>
      <c r="F42" s="53">
        <v>0</v>
      </c>
      <c r="G42" s="51">
        <v>0</v>
      </c>
      <c r="H42" s="52">
        <v>0</v>
      </c>
      <c r="I42" s="53">
        <v>0</v>
      </c>
      <c r="J42" s="51">
        <v>81933.642442430268</v>
      </c>
      <c r="K42" s="52">
        <v>6.01211830312767E-3</v>
      </c>
      <c r="L42" s="53">
        <v>0.29820293655664354</v>
      </c>
      <c r="M42" s="7">
        <v>16</v>
      </c>
    </row>
    <row r="43" spans="3:13" ht="13.5" thickBot="1" x14ac:dyDescent="0.25">
      <c r="C43" s="15" t="s">
        <v>41</v>
      </c>
      <c r="D43" s="41">
        <v>6366721.4900000002</v>
      </c>
      <c r="E43" s="42">
        <v>0.66172028052650411</v>
      </c>
      <c r="F43" s="43">
        <v>23.172105962337767</v>
      </c>
      <c r="G43" s="41">
        <v>10330791.331090799</v>
      </c>
      <c r="H43" s="42">
        <v>0.7593117578460491</v>
      </c>
      <c r="I43" s="43">
        <v>37.599601580630221</v>
      </c>
      <c r="J43" s="41">
        <v>9953500.8509353679</v>
      </c>
      <c r="K43" s="42">
        <v>0.7303669513796166</v>
      </c>
      <c r="L43" s="43">
        <v>36.226427805324569</v>
      </c>
      <c r="M43" s="18"/>
    </row>
    <row r="44" spans="3:13" ht="13.5" thickTop="1" x14ac:dyDescent="0.2"/>
    <row r="47" spans="3:13" x14ac:dyDescent="0.2">
      <c r="D47" s="19"/>
    </row>
    <row r="48" spans="3:13" x14ac:dyDescent="0.2">
      <c r="I48" s="19"/>
    </row>
    <row r="49" spans="9:9" x14ac:dyDescent="0.2">
      <c r="I49" s="19"/>
    </row>
  </sheetData>
  <pageMargins left="0.7" right="0.7" top="0.75" bottom="0.75" header="0.3" footer="0.3"/>
  <pageSetup scale="70" orientation="portrait" r:id="rId1"/>
  <customProperties>
    <customPr name="SHEET_UNIQUE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B2A6-3615-413E-B697-FEBD5BA3882A}">
  <sheetPr>
    <pageSetUpPr fitToPage="1"/>
  </sheetPr>
  <dimension ref="B2:D22"/>
  <sheetViews>
    <sheetView showGridLines="0" view="pageBreakPreview" zoomScaleNormal="100" zoomScaleSheetLayoutView="100" workbookViewId="0"/>
  </sheetViews>
  <sheetFormatPr defaultRowHeight="12.75" x14ac:dyDescent="0.2"/>
  <cols>
    <col min="1" max="1" width="1.7109375" customWidth="1"/>
    <col min="2" max="2" width="9.28515625" bestFit="1" customWidth="1"/>
    <col min="3" max="3" width="41.42578125" customWidth="1"/>
    <col min="4" max="4" width="154.5703125" customWidth="1"/>
  </cols>
  <sheetData>
    <row r="2" spans="2:4" ht="27.75" x14ac:dyDescent="0.4">
      <c r="B2" s="21" t="s">
        <v>42</v>
      </c>
      <c r="C2" s="22"/>
      <c r="D2" s="22"/>
    </row>
    <row r="3" spans="2:4" ht="18" x14ac:dyDescent="0.25">
      <c r="B3" s="23" t="s">
        <v>43</v>
      </c>
      <c r="C3" s="22"/>
      <c r="D3" s="22"/>
    </row>
    <row r="4" spans="2:4" ht="15.75" thickBot="1" x14ac:dyDescent="0.3">
      <c r="B4" s="22"/>
      <c r="C4" s="22"/>
      <c r="D4" s="22"/>
    </row>
    <row r="5" spans="2:4" ht="14.25" thickTop="1" thickBot="1" x14ac:dyDescent="0.25">
      <c r="B5" s="24" t="s">
        <v>44</v>
      </c>
      <c r="C5" s="25" t="s">
        <v>45</v>
      </c>
      <c r="D5" s="25" t="s">
        <v>46</v>
      </c>
    </row>
    <row r="6" spans="2:4" x14ac:dyDescent="0.2">
      <c r="B6" s="26">
        <v>1</v>
      </c>
      <c r="C6" s="27" t="s">
        <v>61</v>
      </c>
      <c r="D6" s="27" t="s">
        <v>62</v>
      </c>
    </row>
    <row r="7" spans="2:4" x14ac:dyDescent="0.2">
      <c r="B7" s="26">
        <v>2</v>
      </c>
      <c r="C7" s="27" t="s">
        <v>13</v>
      </c>
      <c r="D7" s="27" t="s">
        <v>47</v>
      </c>
    </row>
    <row r="8" spans="2:4" x14ac:dyDescent="0.2">
      <c r="B8" s="26">
        <v>3</v>
      </c>
      <c r="C8" s="27" t="s">
        <v>104</v>
      </c>
      <c r="D8" s="27" t="s">
        <v>105</v>
      </c>
    </row>
    <row r="9" spans="2:4" x14ac:dyDescent="0.2">
      <c r="B9" s="26">
        <v>4</v>
      </c>
      <c r="C9" s="27" t="s">
        <v>16</v>
      </c>
      <c r="D9" s="27" t="s">
        <v>48</v>
      </c>
    </row>
    <row r="10" spans="2:4" x14ac:dyDescent="0.2">
      <c r="B10" s="26">
        <v>5</v>
      </c>
      <c r="C10" s="27" t="s">
        <v>49</v>
      </c>
      <c r="D10" s="27" t="s">
        <v>50</v>
      </c>
    </row>
    <row r="11" spans="2:4" x14ac:dyDescent="0.2">
      <c r="B11" s="26">
        <v>6</v>
      </c>
      <c r="C11" s="27" t="s">
        <v>21</v>
      </c>
      <c r="D11" s="27" t="s">
        <v>51</v>
      </c>
    </row>
    <row r="12" spans="2:4" x14ac:dyDescent="0.2">
      <c r="B12" s="26">
        <v>7</v>
      </c>
      <c r="C12" s="28" t="s">
        <v>25</v>
      </c>
      <c r="D12" s="28" t="s">
        <v>52</v>
      </c>
    </row>
    <row r="13" spans="2:4" x14ac:dyDescent="0.2">
      <c r="B13" s="26">
        <v>8</v>
      </c>
      <c r="C13" s="28" t="s">
        <v>26</v>
      </c>
      <c r="D13" s="27" t="s">
        <v>53</v>
      </c>
    </row>
    <row r="14" spans="2:4" x14ac:dyDescent="0.2">
      <c r="B14" s="26">
        <v>9</v>
      </c>
      <c r="C14" s="27" t="s">
        <v>29</v>
      </c>
      <c r="D14" s="27" t="s">
        <v>54</v>
      </c>
    </row>
    <row r="15" spans="2:4" x14ac:dyDescent="0.2">
      <c r="B15" s="26">
        <v>10</v>
      </c>
      <c r="C15" s="27" t="s">
        <v>30</v>
      </c>
      <c r="D15" s="27" t="s">
        <v>55</v>
      </c>
    </row>
    <row r="16" spans="2:4" x14ac:dyDescent="0.2">
      <c r="B16" s="26">
        <v>11</v>
      </c>
      <c r="C16" s="27" t="s">
        <v>31</v>
      </c>
      <c r="D16" s="27" t="s">
        <v>56</v>
      </c>
    </row>
    <row r="17" spans="2:4" x14ac:dyDescent="0.2">
      <c r="B17" s="26">
        <v>12</v>
      </c>
      <c r="C17" s="27" t="s">
        <v>32</v>
      </c>
      <c r="D17" s="27" t="s">
        <v>57</v>
      </c>
    </row>
    <row r="18" spans="2:4" x14ac:dyDescent="0.2">
      <c r="B18" s="26">
        <v>13</v>
      </c>
      <c r="C18" s="27" t="s">
        <v>33</v>
      </c>
      <c r="D18" s="27" t="s">
        <v>58</v>
      </c>
    </row>
    <row r="19" spans="2:4" x14ac:dyDescent="0.2">
      <c r="B19" s="26">
        <v>14</v>
      </c>
      <c r="C19" s="27" t="s">
        <v>37</v>
      </c>
      <c r="D19" s="28" t="s">
        <v>59</v>
      </c>
    </row>
    <row r="20" spans="2:4" x14ac:dyDescent="0.2">
      <c r="B20" s="26">
        <v>15</v>
      </c>
      <c r="C20" s="27" t="s">
        <v>39</v>
      </c>
      <c r="D20" s="28" t="s">
        <v>60</v>
      </c>
    </row>
    <row r="21" spans="2:4" x14ac:dyDescent="0.2">
      <c r="B21" s="26">
        <v>16</v>
      </c>
      <c r="C21" s="27" t="s">
        <v>40</v>
      </c>
      <c r="D21" s="28" t="s">
        <v>60</v>
      </c>
    </row>
    <row r="22" spans="2:4" x14ac:dyDescent="0.2">
      <c r="B22" s="26"/>
      <c r="C22" s="27"/>
      <c r="D22" s="27"/>
    </row>
  </sheetData>
  <pageMargins left="0.7" right="0.7" top="0.75" bottom="0.75" header="0.3" footer="0.3"/>
  <pageSetup scale="65" fitToHeight="0" orientation="portrait" r:id="rId1"/>
  <customProperties>
    <customPr name="SHEET_UNIQU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5177-BD82-4BB1-9147-357365EB1F44}">
  <dimension ref="B2:N17"/>
  <sheetViews>
    <sheetView showGridLines="0" view="pageBreakPreview" zoomScale="130" zoomScaleNormal="100" zoomScaleSheetLayoutView="130" workbookViewId="0"/>
  </sheetViews>
  <sheetFormatPr defaultRowHeight="12.75" x14ac:dyDescent="0.2"/>
  <cols>
    <col min="1" max="1" width="1.7109375" customWidth="1"/>
    <col min="2" max="2" width="39" customWidth="1"/>
    <col min="3" max="3" width="8.5703125" customWidth="1"/>
    <col min="4" max="4" width="19.7109375" customWidth="1"/>
    <col min="5" max="5" width="9.5703125" customWidth="1"/>
    <col min="6" max="6" width="7.140625" customWidth="1"/>
    <col min="7" max="7" width="11.140625" customWidth="1"/>
    <col min="8" max="8" width="7.85546875" customWidth="1"/>
    <col min="9" max="9" width="8.7109375" customWidth="1"/>
    <col min="10" max="10" width="11.42578125" customWidth="1"/>
    <col min="11" max="11" width="8.85546875" customWidth="1"/>
    <col min="12" max="12" width="9.42578125" customWidth="1"/>
    <col min="13" max="14" width="10.7109375" customWidth="1"/>
  </cols>
  <sheetData>
    <row r="2" spans="2:14" ht="39" thickBot="1" x14ac:dyDescent="0.25">
      <c r="B2" s="84" t="s">
        <v>100</v>
      </c>
      <c r="C2" s="83" t="s">
        <v>44</v>
      </c>
      <c r="D2" s="82" t="s">
        <v>99</v>
      </c>
      <c r="E2" s="82" t="s">
        <v>98</v>
      </c>
      <c r="F2" s="82" t="s">
        <v>97</v>
      </c>
      <c r="G2" s="82" t="s">
        <v>96</v>
      </c>
      <c r="H2" s="82" t="s">
        <v>95</v>
      </c>
      <c r="I2" s="82" t="s">
        <v>94</v>
      </c>
      <c r="J2" s="82" t="s">
        <v>93</v>
      </c>
      <c r="K2" s="82" t="s">
        <v>92</v>
      </c>
      <c r="L2" s="82" t="s">
        <v>91</v>
      </c>
      <c r="M2" s="82" t="s">
        <v>90</v>
      </c>
      <c r="N2" s="82" t="s">
        <v>89</v>
      </c>
    </row>
    <row r="3" spans="2:14" x14ac:dyDescent="0.2">
      <c r="B3" s="81" t="s">
        <v>88</v>
      </c>
      <c r="C3" s="80">
        <v>3</v>
      </c>
      <c r="D3" s="79" t="s">
        <v>87</v>
      </c>
      <c r="E3" s="78">
        <v>120209</v>
      </c>
      <c r="F3" s="77">
        <v>0.43750864397033024</v>
      </c>
      <c r="G3" s="78">
        <v>5168982.1916399999</v>
      </c>
      <c r="H3" s="77">
        <v>0.38622145187260443</v>
      </c>
      <c r="I3" s="76">
        <v>42.999960000000002</v>
      </c>
      <c r="J3" s="78">
        <v>5205732.9177335082</v>
      </c>
      <c r="K3" s="77">
        <v>0.38654134306103083</v>
      </c>
      <c r="L3" s="76">
        <v>43.305683582206889</v>
      </c>
      <c r="M3" s="75">
        <v>45292</v>
      </c>
      <c r="N3" s="75">
        <v>50770</v>
      </c>
    </row>
    <row r="4" spans="2:14" x14ac:dyDescent="0.2">
      <c r="B4" s="74" t="s">
        <v>86</v>
      </c>
      <c r="C4" s="73">
        <v>4</v>
      </c>
      <c r="D4" s="72" t="s">
        <v>73</v>
      </c>
      <c r="E4" s="71">
        <v>27536</v>
      </c>
      <c r="F4" s="70">
        <v>0.1002191019005816</v>
      </c>
      <c r="G4" s="71">
        <v>1652753.52</v>
      </c>
      <c r="H4" s="70">
        <v>0.12349217707005301</v>
      </c>
      <c r="I4" s="69">
        <v>60.021554328878558</v>
      </c>
      <c r="J4" s="71">
        <v>1661171.9245596488</v>
      </c>
      <c r="K4" s="70">
        <v>0.12334701701410548</v>
      </c>
      <c r="L4" s="69">
        <v>60.327277911085446</v>
      </c>
      <c r="M4" s="68">
        <v>44880</v>
      </c>
      <c r="N4" s="68">
        <v>48518</v>
      </c>
    </row>
    <row r="5" spans="2:14" x14ac:dyDescent="0.2">
      <c r="B5" s="74" t="s">
        <v>85</v>
      </c>
      <c r="C5" s="73" t="s">
        <v>78</v>
      </c>
      <c r="D5" s="72" t="s">
        <v>77</v>
      </c>
      <c r="E5" s="71">
        <v>25300</v>
      </c>
      <c r="F5" s="70">
        <v>9.2081031307550645E-2</v>
      </c>
      <c r="G5" s="71">
        <v>1618469.52</v>
      </c>
      <c r="H5" s="70">
        <v>0.1209305090733213</v>
      </c>
      <c r="I5" s="69">
        <v>63.971127272727273</v>
      </c>
      <c r="J5" s="71">
        <v>1626204.3266298342</v>
      </c>
      <c r="K5" s="70">
        <v>0.12075056758402342</v>
      </c>
      <c r="L5" s="69">
        <v>64.276850854934153</v>
      </c>
      <c r="M5" s="68" t="s">
        <v>84</v>
      </c>
      <c r="N5" s="68">
        <v>48610</v>
      </c>
    </row>
    <row r="6" spans="2:14" x14ac:dyDescent="0.2">
      <c r="B6" s="74" t="s">
        <v>83</v>
      </c>
      <c r="C6" s="73" t="s">
        <v>78</v>
      </c>
      <c r="D6" s="72" t="s">
        <v>82</v>
      </c>
      <c r="E6" s="71">
        <v>34065</v>
      </c>
      <c r="F6" s="70">
        <v>0.12398183128425742</v>
      </c>
      <c r="G6" s="71">
        <v>1452810.1199999999</v>
      </c>
      <c r="H6" s="70">
        <v>0.10855259566363226</v>
      </c>
      <c r="I6" s="69">
        <v>42.648176133861732</v>
      </c>
      <c r="J6" s="71">
        <v>1463224.5938278774</v>
      </c>
      <c r="K6" s="70">
        <v>0.10864883170848702</v>
      </c>
      <c r="L6" s="69">
        <v>42.953899716068619</v>
      </c>
      <c r="M6" s="68">
        <v>44621</v>
      </c>
      <c r="N6" s="68">
        <v>47483</v>
      </c>
    </row>
    <row r="7" spans="2:14" x14ac:dyDescent="0.2">
      <c r="B7" s="74" t="s">
        <v>81</v>
      </c>
      <c r="C7" s="73" t="s">
        <v>78</v>
      </c>
      <c r="D7" s="72" t="s">
        <v>77</v>
      </c>
      <c r="E7" s="71">
        <v>24879</v>
      </c>
      <c r="F7" s="70">
        <v>9.0548773830061366E-2</v>
      </c>
      <c r="G7" s="71">
        <v>1328538.6000000001</v>
      </c>
      <c r="H7" s="70">
        <v>9.926714543351893E-2</v>
      </c>
      <c r="I7" s="69">
        <v>53.400000000000006</v>
      </c>
      <c r="J7" s="71">
        <v>1336144.6970017252</v>
      </c>
      <c r="K7" s="70">
        <v>9.9212766744819061E-2</v>
      </c>
      <c r="L7" s="69">
        <v>53.705723582206886</v>
      </c>
      <c r="M7" s="68">
        <v>44454</v>
      </c>
      <c r="N7" s="68">
        <v>48334</v>
      </c>
    </row>
    <row r="8" spans="2:14" x14ac:dyDescent="0.2">
      <c r="B8" s="74" t="s">
        <v>80</v>
      </c>
      <c r="C8" s="73" t="s">
        <v>78</v>
      </c>
      <c r="D8" s="72" t="s">
        <v>77</v>
      </c>
      <c r="E8" s="71">
        <v>14836</v>
      </c>
      <c r="F8" s="70">
        <v>5.3996607924064084E-2</v>
      </c>
      <c r="G8" s="71">
        <v>658718.39999999991</v>
      </c>
      <c r="H8" s="70">
        <v>4.921881472810416E-2</v>
      </c>
      <c r="I8" s="69">
        <v>44.399999999999991</v>
      </c>
      <c r="J8" s="71">
        <v>663254.11506562133</v>
      </c>
      <c r="K8" s="70">
        <v>4.9248615032644112E-2</v>
      </c>
      <c r="L8" s="69">
        <v>44.705723582206886</v>
      </c>
      <c r="M8" s="68">
        <v>45323</v>
      </c>
      <c r="N8" s="68">
        <v>48060</v>
      </c>
    </row>
    <row r="9" spans="2:14" x14ac:dyDescent="0.2">
      <c r="B9" s="74" t="s">
        <v>79</v>
      </c>
      <c r="C9" s="73" t="s">
        <v>78</v>
      </c>
      <c r="D9" s="72" t="s">
        <v>77</v>
      </c>
      <c r="E9" s="71">
        <v>10879</v>
      </c>
      <c r="F9" s="70">
        <v>3.959484346224678E-2</v>
      </c>
      <c r="G9" s="71">
        <v>554664.84</v>
      </c>
      <c r="H9" s="70">
        <v>4.1444031313158311E-2</v>
      </c>
      <c r="I9" s="69">
        <v>50.984910377792076</v>
      </c>
      <c r="J9" s="71">
        <v>557990.8068508287</v>
      </c>
      <c r="K9" s="70">
        <v>4.1432497460844375E-2</v>
      </c>
      <c r="L9" s="69">
        <v>51.290633959998964</v>
      </c>
      <c r="M9" s="68">
        <v>45119</v>
      </c>
      <c r="N9" s="68">
        <v>47695</v>
      </c>
    </row>
    <row r="10" spans="2:14" x14ac:dyDescent="0.2">
      <c r="B10" s="74" t="s">
        <v>76</v>
      </c>
      <c r="C10" s="73">
        <v>4</v>
      </c>
      <c r="D10" s="72" t="s">
        <v>73</v>
      </c>
      <c r="E10" s="71">
        <v>8835</v>
      </c>
      <c r="F10" s="70">
        <v>3.2155569628545849E-2</v>
      </c>
      <c r="G10" s="71">
        <v>530286.12</v>
      </c>
      <c r="H10" s="70">
        <v>3.9622476453011202E-2</v>
      </c>
      <c r="I10" s="69">
        <v>60.021066213921898</v>
      </c>
      <c r="J10" s="71">
        <v>532987.18784879788</v>
      </c>
      <c r="K10" s="70">
        <v>3.9575903466652435E-2</v>
      </c>
      <c r="L10" s="69">
        <v>60.326789796128793</v>
      </c>
      <c r="M10" s="68">
        <v>44880</v>
      </c>
      <c r="N10" s="68">
        <v>48518</v>
      </c>
    </row>
    <row r="11" spans="2:14" x14ac:dyDescent="0.2">
      <c r="B11" s="74" t="s">
        <v>75</v>
      </c>
      <c r="C11" s="73">
        <v>4</v>
      </c>
      <c r="D11" s="72" t="s">
        <v>73</v>
      </c>
      <c r="E11" s="71">
        <v>6173</v>
      </c>
      <c r="F11" s="70">
        <v>2.2467043725751389E-2</v>
      </c>
      <c r="G11" s="71">
        <v>295435.92</v>
      </c>
      <c r="H11" s="70">
        <v>2.207469202394681E-2</v>
      </c>
      <c r="I11" s="69">
        <v>47.859374696257895</v>
      </c>
      <c r="J11" s="71">
        <v>297323.15167296311</v>
      </c>
      <c r="K11" s="70">
        <v>2.2077139220742694E-2</v>
      </c>
      <c r="L11" s="69">
        <v>48.165098278464782</v>
      </c>
      <c r="M11" s="68">
        <v>44880</v>
      </c>
      <c r="N11" s="68">
        <v>48518</v>
      </c>
    </row>
    <row r="12" spans="2:14" x14ac:dyDescent="0.2">
      <c r="B12" s="65" t="s">
        <v>74</v>
      </c>
      <c r="C12" s="67">
        <v>4</v>
      </c>
      <c r="D12" s="61" t="s">
        <v>73</v>
      </c>
      <c r="E12" s="64">
        <v>2046</v>
      </c>
      <c r="F12" s="63">
        <v>7.4465529666106174E-3</v>
      </c>
      <c r="G12" s="64">
        <v>122808.12</v>
      </c>
      <c r="H12" s="63">
        <v>9.1761063686497668E-3</v>
      </c>
      <c r="I12" s="62">
        <v>60.023519061583578</v>
      </c>
      <c r="J12" s="64">
        <v>123433.63044919529</v>
      </c>
      <c r="K12" s="63">
        <v>9.1653187066508233E-3</v>
      </c>
      <c r="L12" s="62">
        <v>60.329242643790465</v>
      </c>
      <c r="M12" s="66">
        <v>44880</v>
      </c>
      <c r="N12" s="66">
        <v>48518</v>
      </c>
    </row>
    <row r="13" spans="2:14" x14ac:dyDescent="0.2">
      <c r="B13" s="60" t="s">
        <v>72</v>
      </c>
      <c r="C13" s="56"/>
      <c r="D13" s="56"/>
      <c r="E13" s="59">
        <v>274758</v>
      </c>
      <c r="F13" s="58">
        <v>0.99999999999999989</v>
      </c>
      <c r="G13" s="59">
        <v>13383467.351639997</v>
      </c>
      <c r="H13" s="58">
        <v>1</v>
      </c>
      <c r="I13" s="57">
        <v>48.710018822527452</v>
      </c>
      <c r="J13" s="59">
        <v>13467467.351639997</v>
      </c>
      <c r="K13" s="58">
        <v>1.0000000000000002</v>
      </c>
      <c r="L13" s="57">
        <v>49.01574240473434</v>
      </c>
      <c r="M13" s="56"/>
      <c r="N13" s="56"/>
    </row>
    <row r="14" spans="2:14" x14ac:dyDescent="0.2">
      <c r="B14" s="65" t="s">
        <v>71</v>
      </c>
      <c r="C14" s="61"/>
      <c r="D14" s="61"/>
      <c r="E14" s="64">
        <v>0</v>
      </c>
      <c r="F14" s="63">
        <v>0</v>
      </c>
      <c r="G14" s="64">
        <v>0</v>
      </c>
      <c r="H14" s="63">
        <v>0</v>
      </c>
      <c r="I14" s="62">
        <v>0</v>
      </c>
      <c r="J14" s="64">
        <v>0</v>
      </c>
      <c r="K14" s="63">
        <v>0</v>
      </c>
      <c r="L14" s="62">
        <v>0</v>
      </c>
      <c r="M14" s="61"/>
      <c r="N14" s="61"/>
    </row>
    <row r="15" spans="2:14" x14ac:dyDescent="0.2">
      <c r="B15" s="60" t="s">
        <v>70</v>
      </c>
      <c r="C15" s="56"/>
      <c r="D15" s="56"/>
      <c r="E15" s="59">
        <v>274758</v>
      </c>
      <c r="F15" s="58">
        <v>0.99999999999999989</v>
      </c>
      <c r="G15" s="59">
        <v>13383467.351639997</v>
      </c>
      <c r="H15" s="58">
        <v>1</v>
      </c>
      <c r="I15" s="57">
        <v>48.710018822527452</v>
      </c>
      <c r="J15" s="59">
        <v>13467467.351639997</v>
      </c>
      <c r="K15" s="58">
        <v>1.0000000000000002</v>
      </c>
      <c r="L15" s="57">
        <v>49.01574240473434</v>
      </c>
      <c r="M15" s="56"/>
      <c r="N15" s="56"/>
    </row>
    <row r="16" spans="2:14" x14ac:dyDescent="0.2">
      <c r="B16" s="55" t="s">
        <v>69</v>
      </c>
      <c r="C16" s="12"/>
    </row>
    <row r="17" spans="2:2" x14ac:dyDescent="0.2">
      <c r="B17" s="54" t="s">
        <v>68</v>
      </c>
    </row>
  </sheetData>
  <pageMargins left="0.7" right="0.7" top="0.75" bottom="0.75" header="0.3" footer="0.3"/>
  <pageSetup scale="62" orientation="portrait" r:id="rId1"/>
  <customProperties>
    <customPr name="SHEET_UNIQUE_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3083-BFAC-4B43-B6E3-578D1F893281}">
  <dimension ref="B2:D7"/>
  <sheetViews>
    <sheetView showGridLines="0" view="pageBreakPreview" zoomScale="140" zoomScaleNormal="100" zoomScaleSheetLayoutView="140" workbookViewId="0"/>
  </sheetViews>
  <sheetFormatPr defaultRowHeight="12.75" x14ac:dyDescent="0.2"/>
  <cols>
    <col min="1" max="1" width="1.7109375" customWidth="1"/>
    <col min="2" max="2" width="8.28515625" customWidth="1"/>
    <col min="3" max="3" width="41" customWidth="1"/>
    <col min="4" max="4" width="99.5703125" customWidth="1"/>
  </cols>
  <sheetData>
    <row r="2" spans="2:4" ht="13.5" thickBot="1" x14ac:dyDescent="0.25">
      <c r="B2" s="90" t="s">
        <v>44</v>
      </c>
      <c r="C2" s="90" t="s">
        <v>103</v>
      </c>
      <c r="D2" s="90" t="s">
        <v>46</v>
      </c>
    </row>
    <row r="3" spans="2:4" x14ac:dyDescent="0.2">
      <c r="B3" s="89">
        <v>3</v>
      </c>
      <c r="C3" s="88" t="s">
        <v>88</v>
      </c>
      <c r="D3" s="54" t="s">
        <v>102</v>
      </c>
    </row>
    <row r="4" spans="2:4" x14ac:dyDescent="0.2">
      <c r="B4" s="87">
        <v>4</v>
      </c>
      <c r="C4" s="86" t="s">
        <v>86</v>
      </c>
      <c r="D4" s="85" t="s">
        <v>101</v>
      </c>
    </row>
    <row r="5" spans="2:4" x14ac:dyDescent="0.2">
      <c r="B5" s="87">
        <v>4</v>
      </c>
      <c r="C5" s="86" t="s">
        <v>76</v>
      </c>
      <c r="D5" s="85" t="s">
        <v>101</v>
      </c>
    </row>
    <row r="6" spans="2:4" x14ac:dyDescent="0.2">
      <c r="B6" s="87">
        <v>4</v>
      </c>
      <c r="C6" s="86" t="s">
        <v>75</v>
      </c>
      <c r="D6" s="85" t="s">
        <v>101</v>
      </c>
    </row>
    <row r="7" spans="2:4" x14ac:dyDescent="0.2">
      <c r="B7" s="87">
        <v>4</v>
      </c>
      <c r="C7" s="86" t="s">
        <v>74</v>
      </c>
      <c r="D7" s="85" t="s">
        <v>101</v>
      </c>
    </row>
  </sheetData>
  <pageMargins left="0.7" right="0.7" top="0.75" bottom="0.75" header="0.3" footer="0.3"/>
  <pageSetup scale="67" orientation="portrait" r:id="rId1"/>
  <customProperties>
    <customPr name="SHEET_UNIQUE_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B6E5-CFF1-4614-9C9E-FFA8BEDC5BAF}">
  <dimension ref="B1:F50"/>
  <sheetViews>
    <sheetView showGridLines="0" view="pageBreakPreview" zoomScale="115" zoomScaleNormal="100" zoomScaleSheetLayoutView="115" workbookViewId="0"/>
  </sheetViews>
  <sheetFormatPr defaultRowHeight="12.75" x14ac:dyDescent="0.2"/>
  <cols>
    <col min="1" max="1" width="3.7109375" customWidth="1"/>
    <col min="2" max="2" width="39.28515625" customWidth="1"/>
    <col min="4" max="4" width="12.7109375" bestFit="1" customWidth="1"/>
    <col min="5" max="5" width="11.85546875" customWidth="1"/>
    <col min="6" max="6" width="14.85546875" customWidth="1"/>
  </cols>
  <sheetData>
    <row r="1" spans="2:6" x14ac:dyDescent="0.2">
      <c r="E1" s="91"/>
    </row>
    <row r="2" spans="2:6" ht="13.5" thickBot="1" x14ac:dyDescent="0.25">
      <c r="B2" s="92" t="s">
        <v>100</v>
      </c>
      <c r="C2" s="93" t="s">
        <v>106</v>
      </c>
      <c r="D2" s="94" t="s">
        <v>107</v>
      </c>
      <c r="E2" s="94" t="s">
        <v>108</v>
      </c>
      <c r="F2" s="94" t="s">
        <v>109</v>
      </c>
    </row>
    <row r="3" spans="2:6" x14ac:dyDescent="0.2">
      <c r="B3" s="95" t="s">
        <v>76</v>
      </c>
      <c r="C3" s="95">
        <v>301</v>
      </c>
      <c r="D3" s="96">
        <v>8835</v>
      </c>
      <c r="E3" s="97" t="s">
        <v>110</v>
      </c>
      <c r="F3" s="96">
        <f>42264.3*12</f>
        <v>507171.60000000003</v>
      </c>
    </row>
    <row r="4" spans="2:6" x14ac:dyDescent="0.2">
      <c r="B4" s="95" t="s">
        <v>76</v>
      </c>
      <c r="C4" s="95">
        <v>301</v>
      </c>
      <c r="D4" s="96">
        <v>8835</v>
      </c>
      <c r="E4" s="97">
        <v>45170</v>
      </c>
      <c r="F4" s="96">
        <f>43213.17*12</f>
        <v>518558.04</v>
      </c>
    </row>
    <row r="5" spans="2:6" x14ac:dyDescent="0.2">
      <c r="B5" s="95" t="s">
        <v>76</v>
      </c>
      <c r="C5" s="95">
        <v>301</v>
      </c>
      <c r="D5" s="96">
        <v>8835</v>
      </c>
      <c r="E5" s="97">
        <v>45536</v>
      </c>
      <c r="F5" s="96">
        <v>530286.12</v>
      </c>
    </row>
    <row r="6" spans="2:6" x14ac:dyDescent="0.2">
      <c r="B6" s="95" t="s">
        <v>76</v>
      </c>
      <c r="C6" s="95">
        <v>301</v>
      </c>
      <c r="D6" s="96">
        <v>8835</v>
      </c>
      <c r="E6" s="97">
        <v>45901</v>
      </c>
      <c r="F6" s="96">
        <v>542366.04</v>
      </c>
    </row>
    <row r="7" spans="2:6" x14ac:dyDescent="0.2">
      <c r="B7" s="95" t="s">
        <v>76</v>
      </c>
      <c r="C7" s="95">
        <v>301</v>
      </c>
      <c r="D7" s="96">
        <v>8835</v>
      </c>
      <c r="E7" s="97">
        <v>46266</v>
      </c>
      <c r="F7" s="96">
        <v>554808.36</v>
      </c>
    </row>
    <row r="8" spans="2:6" x14ac:dyDescent="0.2">
      <c r="B8" s="95" t="s">
        <v>76</v>
      </c>
      <c r="C8" s="95">
        <v>301</v>
      </c>
      <c r="D8" s="96">
        <v>8835</v>
      </c>
      <c r="E8" s="97">
        <v>46631</v>
      </c>
      <c r="F8" s="96">
        <v>440000.28</v>
      </c>
    </row>
    <row r="9" spans="2:6" x14ac:dyDescent="0.2">
      <c r="B9" s="95" t="s">
        <v>76</v>
      </c>
      <c r="C9" s="95">
        <v>301</v>
      </c>
      <c r="D9" s="96">
        <v>8835</v>
      </c>
      <c r="E9" s="97">
        <v>46997</v>
      </c>
      <c r="F9" s="96">
        <v>453200.28</v>
      </c>
    </row>
    <row r="10" spans="2:6" x14ac:dyDescent="0.2">
      <c r="B10" s="95" t="s">
        <v>76</v>
      </c>
      <c r="C10" s="95">
        <v>301</v>
      </c>
      <c r="D10" s="96">
        <v>8835</v>
      </c>
      <c r="E10" s="97">
        <v>47362</v>
      </c>
      <c r="F10" s="96">
        <v>466796.28</v>
      </c>
    </row>
    <row r="11" spans="2:6" x14ac:dyDescent="0.2">
      <c r="B11" s="95" t="s">
        <v>76</v>
      </c>
      <c r="C11" s="95">
        <v>301</v>
      </c>
      <c r="D11" s="96">
        <v>8835</v>
      </c>
      <c r="E11" s="97">
        <v>47727</v>
      </c>
      <c r="F11" s="96">
        <v>480800.16000000003</v>
      </c>
    </row>
    <row r="12" spans="2:6" x14ac:dyDescent="0.2">
      <c r="B12" s="95" t="s">
        <v>76</v>
      </c>
      <c r="C12" s="95">
        <v>301</v>
      </c>
      <c r="D12" s="96">
        <v>8835</v>
      </c>
      <c r="E12" s="97">
        <v>48092</v>
      </c>
      <c r="F12" s="96">
        <v>495224.16000000003</v>
      </c>
    </row>
    <row r="13" spans="2:6" x14ac:dyDescent="0.2">
      <c r="B13" s="95" t="s">
        <v>75</v>
      </c>
      <c r="C13" s="95" t="s">
        <v>111</v>
      </c>
      <c r="D13" s="96">
        <v>6173</v>
      </c>
      <c r="E13" s="97" t="s">
        <v>110</v>
      </c>
      <c r="F13" s="96">
        <f>23273.81*12</f>
        <v>279285.72000000003</v>
      </c>
    </row>
    <row r="14" spans="2:6" x14ac:dyDescent="0.2">
      <c r="B14" s="95" t="s">
        <v>75</v>
      </c>
      <c r="C14" s="95" t="s">
        <v>111</v>
      </c>
      <c r="D14" s="96">
        <v>6173</v>
      </c>
      <c r="E14" s="97">
        <v>45170</v>
      </c>
      <c r="F14" s="96">
        <v>287241.48</v>
      </c>
    </row>
    <row r="15" spans="2:6" x14ac:dyDescent="0.2">
      <c r="B15" s="95" t="s">
        <v>75</v>
      </c>
      <c r="C15" s="95" t="s">
        <v>111</v>
      </c>
      <c r="D15" s="96">
        <v>6173</v>
      </c>
      <c r="E15" s="97">
        <v>45536</v>
      </c>
      <c r="F15" s="96">
        <v>295435.92</v>
      </c>
    </row>
    <row r="16" spans="2:6" x14ac:dyDescent="0.2">
      <c r="B16" s="95" t="s">
        <v>75</v>
      </c>
      <c r="C16" s="95" t="s">
        <v>111</v>
      </c>
      <c r="D16" s="96">
        <v>6173</v>
      </c>
      <c r="E16" s="97">
        <v>45901</v>
      </c>
      <c r="F16" s="96">
        <v>303876.24</v>
      </c>
    </row>
    <row r="17" spans="2:6" x14ac:dyDescent="0.2">
      <c r="B17" s="95" t="s">
        <v>75</v>
      </c>
      <c r="C17" s="95" t="s">
        <v>111</v>
      </c>
      <c r="D17" s="96">
        <v>6173</v>
      </c>
      <c r="E17" s="97">
        <v>46266</v>
      </c>
      <c r="F17" s="96">
        <v>312569.76</v>
      </c>
    </row>
    <row r="18" spans="2:6" x14ac:dyDescent="0.2">
      <c r="B18" s="95" t="s">
        <v>75</v>
      </c>
      <c r="C18" s="95" t="s">
        <v>111</v>
      </c>
      <c r="D18" s="96">
        <v>6173</v>
      </c>
      <c r="E18" s="97">
        <v>46631</v>
      </c>
      <c r="F18" s="96">
        <v>307430.40000000002</v>
      </c>
    </row>
    <row r="19" spans="2:6" x14ac:dyDescent="0.2">
      <c r="B19" s="95" t="s">
        <v>75</v>
      </c>
      <c r="C19" s="95" t="s">
        <v>111</v>
      </c>
      <c r="D19" s="96">
        <v>6173</v>
      </c>
      <c r="E19" s="97">
        <v>46997</v>
      </c>
      <c r="F19" s="96">
        <v>316653.36</v>
      </c>
    </row>
    <row r="20" spans="2:6" x14ac:dyDescent="0.2">
      <c r="B20" s="95" t="s">
        <v>75</v>
      </c>
      <c r="C20" s="95" t="s">
        <v>111</v>
      </c>
      <c r="D20" s="96">
        <v>6173</v>
      </c>
      <c r="E20" s="97">
        <v>47362</v>
      </c>
      <c r="F20" s="96">
        <v>326152.92</v>
      </c>
    </row>
    <row r="21" spans="2:6" x14ac:dyDescent="0.2">
      <c r="B21" s="95" t="s">
        <v>75</v>
      </c>
      <c r="C21" s="95" t="s">
        <v>111</v>
      </c>
      <c r="D21" s="96">
        <v>6173</v>
      </c>
      <c r="E21" s="97">
        <v>47727</v>
      </c>
      <c r="F21" s="96">
        <v>335937.48</v>
      </c>
    </row>
    <row r="22" spans="2:6" x14ac:dyDescent="0.2">
      <c r="B22" s="95" t="s">
        <v>75</v>
      </c>
      <c r="C22" s="95" t="s">
        <v>111</v>
      </c>
      <c r="D22" s="96">
        <v>6173</v>
      </c>
      <c r="E22" s="97">
        <v>48092</v>
      </c>
      <c r="F22" s="96">
        <v>346015.56</v>
      </c>
    </row>
    <row r="23" spans="2:6" x14ac:dyDescent="0.2">
      <c r="B23" s="95" t="s">
        <v>86</v>
      </c>
      <c r="C23" s="95" t="s">
        <v>112</v>
      </c>
      <c r="D23" s="96">
        <v>27536</v>
      </c>
      <c r="E23" s="97" t="s">
        <v>110</v>
      </c>
      <c r="F23" s="96">
        <f>131726*12</f>
        <v>1580712</v>
      </c>
    </row>
    <row r="24" spans="2:6" x14ac:dyDescent="0.2">
      <c r="B24" s="95" t="s">
        <v>86</v>
      </c>
      <c r="C24" s="95" t="s">
        <v>112</v>
      </c>
      <c r="D24" s="96">
        <v>27536</v>
      </c>
      <c r="E24" s="97">
        <v>45170</v>
      </c>
      <c r="F24" s="96">
        <v>1616200.44</v>
      </c>
    </row>
    <row r="25" spans="2:6" x14ac:dyDescent="0.2">
      <c r="B25" s="95" t="s">
        <v>86</v>
      </c>
      <c r="C25" s="95" t="s">
        <v>112</v>
      </c>
      <c r="D25" s="96">
        <v>27536</v>
      </c>
      <c r="E25" s="97">
        <v>45536</v>
      </c>
      <c r="F25" s="96">
        <v>1652753.52</v>
      </c>
    </row>
    <row r="26" spans="2:6" x14ac:dyDescent="0.2">
      <c r="B26" s="95" t="s">
        <v>86</v>
      </c>
      <c r="C26" s="95" t="s">
        <v>112</v>
      </c>
      <c r="D26" s="96">
        <v>27536</v>
      </c>
      <c r="E26" s="97">
        <v>45901</v>
      </c>
      <c r="F26" s="96">
        <v>1690403.16</v>
      </c>
    </row>
    <row r="27" spans="2:6" x14ac:dyDescent="0.2">
      <c r="B27" s="95" t="s">
        <v>86</v>
      </c>
      <c r="C27" s="95" t="s">
        <v>112</v>
      </c>
      <c r="D27" s="96">
        <v>27536</v>
      </c>
      <c r="E27" s="97">
        <v>46266</v>
      </c>
      <c r="F27" s="96">
        <v>1729182.3599999999</v>
      </c>
    </row>
    <row r="28" spans="2:6" x14ac:dyDescent="0.2">
      <c r="B28" s="95" t="s">
        <v>86</v>
      </c>
      <c r="C28" s="95" t="s">
        <v>112</v>
      </c>
      <c r="D28" s="96">
        <v>27536</v>
      </c>
      <c r="E28" s="97">
        <v>46631</v>
      </c>
      <c r="F28" s="96">
        <v>1371360.96</v>
      </c>
    </row>
    <row r="29" spans="2:6" x14ac:dyDescent="0.2">
      <c r="B29" s="95" t="s">
        <v>86</v>
      </c>
      <c r="C29" s="95" t="s">
        <v>112</v>
      </c>
      <c r="D29" s="96">
        <v>27536</v>
      </c>
      <c r="E29" s="97">
        <v>46997</v>
      </c>
      <c r="F29" s="96">
        <v>1412501.76</v>
      </c>
    </row>
    <row r="30" spans="2:6" x14ac:dyDescent="0.2">
      <c r="B30" s="95" t="s">
        <v>86</v>
      </c>
      <c r="C30" s="95" t="s">
        <v>112</v>
      </c>
      <c r="D30" s="96">
        <v>27536</v>
      </c>
      <c r="E30" s="97">
        <v>47362</v>
      </c>
      <c r="F30" s="96">
        <v>1454876.76</v>
      </c>
    </row>
    <row r="31" spans="2:6" x14ac:dyDescent="0.2">
      <c r="B31" s="95" t="s">
        <v>86</v>
      </c>
      <c r="C31" s="95" t="s">
        <v>112</v>
      </c>
      <c r="D31" s="96">
        <v>27536</v>
      </c>
      <c r="E31" s="97">
        <v>47727</v>
      </c>
      <c r="F31" s="96">
        <v>1498523.04</v>
      </c>
    </row>
    <row r="32" spans="2:6" x14ac:dyDescent="0.2">
      <c r="B32" s="95" t="s">
        <v>86</v>
      </c>
      <c r="C32" s="95" t="s">
        <v>112</v>
      </c>
      <c r="D32" s="96">
        <v>27536</v>
      </c>
      <c r="E32" s="97">
        <v>48092</v>
      </c>
      <c r="F32" s="96">
        <v>1543478.76</v>
      </c>
    </row>
    <row r="33" spans="2:6" x14ac:dyDescent="0.2">
      <c r="B33" s="95" t="s">
        <v>74</v>
      </c>
      <c r="C33" s="95" t="s">
        <v>113</v>
      </c>
      <c r="D33" s="96">
        <v>2046</v>
      </c>
      <c r="E33" s="97" t="s">
        <v>110</v>
      </c>
      <c r="F33" s="96">
        <v>117455.04000000001</v>
      </c>
    </row>
    <row r="34" spans="2:6" x14ac:dyDescent="0.2">
      <c r="B34" s="95" t="s">
        <v>74</v>
      </c>
      <c r="C34" s="95" t="s">
        <v>113</v>
      </c>
      <c r="D34" s="96">
        <v>2046</v>
      </c>
      <c r="E34" s="97">
        <v>45170</v>
      </c>
      <c r="F34" s="96">
        <v>120092.04000000001</v>
      </c>
    </row>
    <row r="35" spans="2:6" x14ac:dyDescent="0.2">
      <c r="B35" s="95" t="s">
        <v>74</v>
      </c>
      <c r="C35" s="95" t="s">
        <v>113</v>
      </c>
      <c r="D35" s="96">
        <v>2046</v>
      </c>
      <c r="E35" s="97">
        <v>45536</v>
      </c>
      <c r="F35" s="96">
        <v>122808.12</v>
      </c>
    </row>
    <row r="36" spans="2:6" x14ac:dyDescent="0.2">
      <c r="B36" s="95" t="s">
        <v>74</v>
      </c>
      <c r="C36" s="95" t="s">
        <v>113</v>
      </c>
      <c r="D36" s="96">
        <v>2046</v>
      </c>
      <c r="E36" s="97">
        <v>45901</v>
      </c>
      <c r="F36" s="96">
        <v>125605.68</v>
      </c>
    </row>
    <row r="37" spans="2:6" x14ac:dyDescent="0.2">
      <c r="B37" s="95" t="s">
        <v>74</v>
      </c>
      <c r="C37" s="95" t="s">
        <v>113</v>
      </c>
      <c r="D37" s="96">
        <v>2046</v>
      </c>
      <c r="E37" s="97">
        <v>46266</v>
      </c>
      <c r="F37" s="96">
        <v>128487.24</v>
      </c>
    </row>
    <row r="38" spans="2:6" x14ac:dyDescent="0.2">
      <c r="B38" s="95" t="s">
        <v>74</v>
      </c>
      <c r="C38" s="95" t="s">
        <v>113</v>
      </c>
      <c r="D38" s="96">
        <v>2046</v>
      </c>
      <c r="E38" s="97">
        <v>46631</v>
      </c>
      <c r="F38" s="96">
        <v>101900.16</v>
      </c>
    </row>
    <row r="39" spans="2:6" x14ac:dyDescent="0.2">
      <c r="B39" s="95" t="s">
        <v>74</v>
      </c>
      <c r="C39" s="95" t="s">
        <v>113</v>
      </c>
      <c r="D39" s="96">
        <v>2046</v>
      </c>
      <c r="E39" s="97">
        <v>46997</v>
      </c>
      <c r="F39" s="96">
        <v>104957.16</v>
      </c>
    </row>
    <row r="40" spans="2:6" x14ac:dyDescent="0.2">
      <c r="B40" s="95" t="s">
        <v>74</v>
      </c>
      <c r="C40" s="95" t="s">
        <v>113</v>
      </c>
      <c r="D40" s="96">
        <v>2046</v>
      </c>
      <c r="E40" s="97">
        <v>47362</v>
      </c>
      <c r="F40" s="96">
        <v>108105.84</v>
      </c>
    </row>
    <row r="41" spans="2:6" x14ac:dyDescent="0.2">
      <c r="B41" s="95" t="s">
        <v>74</v>
      </c>
      <c r="C41" s="95" t="s">
        <v>113</v>
      </c>
      <c r="D41" s="96">
        <v>2046</v>
      </c>
      <c r="E41" s="97">
        <v>47727</v>
      </c>
      <c r="F41" s="96">
        <v>111348.95999999999</v>
      </c>
    </row>
    <row r="42" spans="2:6" x14ac:dyDescent="0.2">
      <c r="B42" s="95" t="s">
        <v>74</v>
      </c>
      <c r="C42" s="95" t="s">
        <v>113</v>
      </c>
      <c r="D42" s="96">
        <v>2046</v>
      </c>
      <c r="E42" s="97">
        <v>48092</v>
      </c>
      <c r="F42" s="96">
        <v>114689.40000000001</v>
      </c>
    </row>
    <row r="43" spans="2:6" x14ac:dyDescent="0.2">
      <c r="B43" s="95" t="s">
        <v>83</v>
      </c>
      <c r="C43" s="95" t="s">
        <v>114</v>
      </c>
      <c r="D43" s="96">
        <v>34065</v>
      </c>
      <c r="E43" s="97" t="s">
        <v>110</v>
      </c>
      <c r="F43" s="96">
        <f>117541.28*12</f>
        <v>1410495.3599999999</v>
      </c>
    </row>
    <row r="44" spans="2:6" x14ac:dyDescent="0.2">
      <c r="B44" s="95" t="s">
        <v>83</v>
      </c>
      <c r="C44" s="95" t="s">
        <v>114</v>
      </c>
      <c r="D44" s="96">
        <v>34065</v>
      </c>
      <c r="E44" s="97">
        <v>45323</v>
      </c>
      <c r="F44" s="96">
        <v>1452810.1199999999</v>
      </c>
    </row>
    <row r="45" spans="2:6" x14ac:dyDescent="0.2">
      <c r="B45" s="95" t="s">
        <v>83</v>
      </c>
      <c r="C45" s="95" t="s">
        <v>114</v>
      </c>
      <c r="D45" s="96">
        <v>34065</v>
      </c>
      <c r="E45" s="97">
        <v>45689</v>
      </c>
      <c r="F45" s="96">
        <v>1496394.3599999999</v>
      </c>
    </row>
    <row r="46" spans="2:6" x14ac:dyDescent="0.2">
      <c r="B46" s="95" t="s">
        <v>83</v>
      </c>
      <c r="C46" s="95" t="s">
        <v>114</v>
      </c>
      <c r="D46" s="96">
        <v>34065</v>
      </c>
      <c r="E46" s="97">
        <v>46054</v>
      </c>
      <c r="F46" s="96">
        <v>1541286.1199999999</v>
      </c>
    </row>
    <row r="47" spans="2:6" x14ac:dyDescent="0.2">
      <c r="B47" s="95" t="s">
        <v>83</v>
      </c>
      <c r="C47" s="95" t="s">
        <v>114</v>
      </c>
      <c r="D47" s="96">
        <v>34065</v>
      </c>
      <c r="E47" s="97">
        <v>46419</v>
      </c>
      <c r="F47" s="96">
        <v>1587524.6400000001</v>
      </c>
    </row>
    <row r="48" spans="2:6" x14ac:dyDescent="0.2">
      <c r="B48" s="95" t="s">
        <v>83</v>
      </c>
      <c r="C48" s="95" t="s">
        <v>114</v>
      </c>
      <c r="D48" s="96">
        <v>34065</v>
      </c>
      <c r="E48" s="97">
        <v>46784</v>
      </c>
      <c r="F48" s="96">
        <v>1635150.3599999999</v>
      </c>
    </row>
    <row r="49" spans="2:6" x14ac:dyDescent="0.2">
      <c r="B49" s="95" t="s">
        <v>83</v>
      </c>
      <c r="C49" s="95" t="s">
        <v>114</v>
      </c>
      <c r="D49" s="96">
        <v>34065</v>
      </c>
      <c r="E49" s="97">
        <v>47150</v>
      </c>
      <c r="F49" s="96">
        <v>1684204.7999999998</v>
      </c>
    </row>
    <row r="50" spans="2:6" x14ac:dyDescent="0.2">
      <c r="B50" s="98"/>
      <c r="C50" s="98"/>
      <c r="D50" s="99"/>
      <c r="E50" s="100"/>
      <c r="F50" s="99"/>
    </row>
  </sheetData>
  <pageMargins left="0.7" right="0.7" top="0.75" bottom="0.75" header="0.3" footer="0.3"/>
  <pageSetup orientation="portrait" r:id="rId1"/>
  <customProperties>
    <customPr name="SHEET_UNIQUE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Cash Flow Extract</vt:lpstr>
      <vt:lpstr>Cash Flow Footnotes</vt:lpstr>
      <vt:lpstr>Rent Roll</vt:lpstr>
      <vt:lpstr>Rent Roll Footnotes</vt:lpstr>
      <vt:lpstr>Rent Steps</vt:lpstr>
    </vt:vector>
  </TitlesOfParts>
  <Company>Goldman Sachs &amp; Co.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Aseh, Joy [IBD]</dc:creator>
  <cp:lastModifiedBy>Pape, Calvin [GBM Private]</cp:lastModifiedBy>
  <dcterms:created xsi:type="dcterms:W3CDTF">2023-07-19T20:15:49Z</dcterms:created>
  <dcterms:modified xsi:type="dcterms:W3CDTF">2023-07-26T14:47:18Z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95bf661f-4284-436c-9c76-67227e27e291</vt:lpwstr>
  </property>
  <property fmtid="{D5CDD505-2E9C-101B-9397-08002B2CF9AE}" pid="3" name="Project">
    <vt:lpwstr>papeca_newyork_ibd</vt:lpwstr>
  </property>
</Properties>
</file>